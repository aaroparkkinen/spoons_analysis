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 Data" sheetId="1" r:id="rId5"/>
    <sheet state="visible" name="App Data" sheetId="2" r:id="rId6"/>
  </sheets>
  <definedNames/>
  <calcPr/>
</workbook>
</file>

<file path=xl/sharedStrings.xml><?xml version="1.0" encoding="utf-8"?>
<sst xmlns="http://schemas.openxmlformats.org/spreadsheetml/2006/main" count="14" uniqueCount="13">
  <si>
    <t>Date</t>
  </si>
  <si>
    <t>Ad spend</t>
  </si>
  <si>
    <t>CPM</t>
  </si>
  <si>
    <t>CTR</t>
  </si>
  <si>
    <t>Paid downloads</t>
  </si>
  <si>
    <t>CPI</t>
  </si>
  <si>
    <t>ARPD (on paid downloads)</t>
  </si>
  <si>
    <t>APPD (on paid downloads)</t>
  </si>
  <si>
    <t>Total downloads</t>
  </si>
  <si>
    <t>Revenue</t>
  </si>
  <si>
    <t>Organic downloads</t>
  </si>
  <si>
    <t>% organic downloads vs. total</t>
  </si>
  <si>
    <t>Average revenue per download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</si>
</sst>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&quot;$&quot;#,##0.000"/>
    <numFmt numFmtId="167" formatCode="d&quot;-&quot;mmm&quot;-&quot;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shrinkToFit="0" vertical="bottom" wrapText="1"/>
    </xf>
    <xf borderId="0" fillId="0" fontId="1" numFmtId="165" xfId="0" applyAlignment="1" applyFont="1" applyNumberFormat="1">
      <alignment shrinkToFit="0" vertical="bottom" wrapText="1"/>
    </xf>
    <xf borderId="0" fillId="0" fontId="1" numFmtId="166" xfId="0" applyAlignment="1" applyFont="1" applyNumberFormat="1">
      <alignment shrinkToFit="0" vertical="bottom" wrapText="1"/>
    </xf>
    <xf borderId="0" fillId="0" fontId="2" numFmtId="167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</row>
    <row r="2">
      <c r="A2" s="5">
        <v>41919.0</v>
      </c>
      <c r="B2" s="6">
        <v>36.0</v>
      </c>
      <c r="C2" s="7">
        <v>0.91</v>
      </c>
      <c r="D2" s="8">
        <v>0.048</v>
      </c>
      <c r="E2" s="9">
        <v>1363.0</v>
      </c>
      <c r="F2" s="10">
        <v>0.026</v>
      </c>
      <c r="G2" s="10">
        <v>0.084</v>
      </c>
      <c r="H2" s="10">
        <v>0.058</v>
      </c>
    </row>
    <row r="3">
      <c r="A3" s="5">
        <v>41920.0</v>
      </c>
      <c r="B3" s="6">
        <v>90.0</v>
      </c>
      <c r="C3" s="7">
        <v>0.9</v>
      </c>
      <c r="D3" s="8">
        <v>0.0449</v>
      </c>
      <c r="E3" s="9">
        <v>3123.0</v>
      </c>
      <c r="F3" s="10">
        <v>0.029</v>
      </c>
      <c r="G3" s="10">
        <v>0.083</v>
      </c>
      <c r="H3" s="10">
        <v>0.054</v>
      </c>
    </row>
    <row r="4">
      <c r="A4" s="5">
        <v>41921.0</v>
      </c>
      <c r="B4" s="6">
        <v>90.0</v>
      </c>
      <c r="C4" s="7">
        <v>1.04</v>
      </c>
      <c r="D4" s="8">
        <v>0.046</v>
      </c>
      <c r="E4" s="9">
        <v>2787.0</v>
      </c>
      <c r="F4" s="10">
        <v>0.032</v>
      </c>
      <c r="G4" s="10">
        <v>0.063</v>
      </c>
      <c r="H4" s="10">
        <v>0.031</v>
      </c>
    </row>
    <row r="5">
      <c r="A5" s="5">
        <v>41922.0</v>
      </c>
      <c r="B5" s="6">
        <v>87.0</v>
      </c>
      <c r="C5" s="7">
        <v>1.01</v>
      </c>
      <c r="D5" s="8">
        <v>0.0433</v>
      </c>
      <c r="E5" s="9">
        <v>2500.0</v>
      </c>
      <c r="F5" s="10">
        <v>0.035</v>
      </c>
      <c r="G5" s="10">
        <v>0.067</v>
      </c>
      <c r="H5" s="10">
        <v>0.032</v>
      </c>
    </row>
    <row r="6">
      <c r="A6" s="5">
        <v>41923.0</v>
      </c>
      <c r="B6" s="6">
        <v>90.0</v>
      </c>
      <c r="C6" s="7">
        <v>0.92</v>
      </c>
      <c r="D6" s="8">
        <v>0.0401</v>
      </c>
      <c r="E6" s="9">
        <v>2583.0</v>
      </c>
      <c r="F6" s="10">
        <v>0.035</v>
      </c>
      <c r="G6" s="10">
        <v>0.081</v>
      </c>
      <c r="H6" s="10">
        <v>0.046</v>
      </c>
    </row>
    <row r="7">
      <c r="A7" s="5">
        <v>41924.0</v>
      </c>
      <c r="B7" s="6">
        <v>90.0</v>
      </c>
      <c r="C7" s="7">
        <v>0.82</v>
      </c>
      <c r="D7" s="8">
        <v>0.034</v>
      </c>
      <c r="E7" s="9">
        <v>2541.0</v>
      </c>
      <c r="F7" s="10">
        <v>0.035</v>
      </c>
      <c r="G7" s="10">
        <v>0.056</v>
      </c>
      <c r="H7" s="10">
        <v>0.021</v>
      </c>
    </row>
    <row r="8">
      <c r="A8" s="5">
        <v>41925.0</v>
      </c>
      <c r="B8" s="6">
        <v>90.0</v>
      </c>
      <c r="C8" s="7">
        <v>0.81</v>
      </c>
      <c r="D8" s="8">
        <v>0.0324</v>
      </c>
      <c r="E8" s="9">
        <v>2361.0</v>
      </c>
      <c r="F8" s="10">
        <v>0.038</v>
      </c>
      <c r="G8" s="10">
        <v>0.069</v>
      </c>
      <c r="H8" s="10">
        <v>0.031</v>
      </c>
    </row>
    <row r="9">
      <c r="A9" s="5">
        <v>41926.0</v>
      </c>
      <c r="B9" s="6">
        <v>81.0</v>
      </c>
      <c r="C9" s="7">
        <v>0.93</v>
      </c>
      <c r="D9" s="8">
        <v>0.0344</v>
      </c>
      <c r="E9" s="9">
        <v>1960.0</v>
      </c>
      <c r="F9" s="10">
        <v>0.041</v>
      </c>
      <c r="G9" s="10">
        <v>0.095</v>
      </c>
      <c r="H9" s="10">
        <v>0.054</v>
      </c>
    </row>
    <row r="10">
      <c r="A10" s="5">
        <v>41927.0</v>
      </c>
      <c r="B10" s="6">
        <v>78.0</v>
      </c>
      <c r="C10" s="7">
        <v>0.94</v>
      </c>
      <c r="D10" s="8">
        <v>0.0368</v>
      </c>
      <c r="E10" s="9">
        <v>1988.0</v>
      </c>
      <c r="F10" s="10">
        <v>0.039</v>
      </c>
      <c r="G10" s="10">
        <v>0.102</v>
      </c>
      <c r="H10" s="10">
        <v>0.063</v>
      </c>
    </row>
    <row r="11">
      <c r="A11" s="5">
        <v>41928.0</v>
      </c>
      <c r="B11" s="6">
        <v>90.0</v>
      </c>
      <c r="C11" s="7">
        <v>1.05</v>
      </c>
      <c r="D11" s="8">
        <v>0.0361</v>
      </c>
      <c r="E11" s="9">
        <v>1924.0</v>
      </c>
      <c r="F11" s="10">
        <v>0.047</v>
      </c>
      <c r="G11" s="10">
        <v>0.099</v>
      </c>
      <c r="H11" s="10">
        <v>0.052</v>
      </c>
    </row>
    <row r="12">
      <c r="A12" s="5">
        <v>41929.0</v>
      </c>
      <c r="B12" s="6">
        <v>84.0</v>
      </c>
      <c r="C12" s="7">
        <v>1.08</v>
      </c>
      <c r="D12" s="8">
        <v>0.034</v>
      </c>
      <c r="E12" s="9">
        <v>1645.0</v>
      </c>
      <c r="F12" s="10">
        <v>0.051</v>
      </c>
      <c r="G12" s="10">
        <v>0.103</v>
      </c>
      <c r="H12" s="10">
        <v>0.052</v>
      </c>
    </row>
    <row r="13">
      <c r="A13" s="5">
        <v>41930.0</v>
      </c>
      <c r="B13" s="6">
        <v>77.0</v>
      </c>
      <c r="C13" s="7">
        <v>1.08</v>
      </c>
      <c r="D13" s="8">
        <v>0.0357</v>
      </c>
      <c r="E13" s="9">
        <v>1556.0</v>
      </c>
      <c r="F13" s="10">
        <v>0.049</v>
      </c>
      <c r="G13" s="10">
        <v>0.1</v>
      </c>
      <c r="H13" s="10">
        <v>0.051</v>
      </c>
    </row>
    <row r="14">
      <c r="A14" s="5">
        <v>41931.0</v>
      </c>
      <c r="B14" s="6">
        <v>90.0</v>
      </c>
      <c r="C14" s="7">
        <v>0.96</v>
      </c>
      <c r="D14" s="8">
        <v>0.0324</v>
      </c>
      <c r="E14" s="9">
        <v>1863.0</v>
      </c>
      <c r="F14" s="10">
        <v>0.048</v>
      </c>
      <c r="G14" s="10">
        <v>0.08</v>
      </c>
      <c r="H14" s="10">
        <v>0.032</v>
      </c>
    </row>
    <row r="15">
      <c r="A15" s="5">
        <v>41932.0</v>
      </c>
      <c r="B15" s="6">
        <v>75.0</v>
      </c>
      <c r="C15" s="7">
        <v>0.97</v>
      </c>
      <c r="D15" s="8">
        <v>0.0317</v>
      </c>
      <c r="E15" s="9">
        <v>1546.0</v>
      </c>
      <c r="F15" s="10">
        <v>0.049</v>
      </c>
      <c r="G15" s="10">
        <v>0.091</v>
      </c>
      <c r="H15" s="10">
        <v>0.042</v>
      </c>
    </row>
    <row r="16">
      <c r="A16" s="5">
        <v>41933.0</v>
      </c>
      <c r="B16" s="6">
        <v>68.0</v>
      </c>
      <c r="C16" s="7">
        <v>1.0</v>
      </c>
      <c r="D16" s="8">
        <v>0.0331</v>
      </c>
      <c r="E16" s="9">
        <v>1386.0</v>
      </c>
      <c r="F16" s="10">
        <v>0.049</v>
      </c>
      <c r="G16" s="10">
        <v>0.111</v>
      </c>
      <c r="H16" s="10">
        <v>0.062</v>
      </c>
    </row>
    <row r="17">
      <c r="A17" s="5">
        <v>41934.0</v>
      </c>
      <c r="B17" s="6">
        <v>79.0</v>
      </c>
      <c r="C17" s="7">
        <v>1.05</v>
      </c>
      <c r="D17" s="8">
        <v>0.0339</v>
      </c>
      <c r="E17" s="9">
        <v>1546.0</v>
      </c>
      <c r="F17" s="10">
        <v>0.051</v>
      </c>
      <c r="G17" s="10">
        <v>0.093</v>
      </c>
      <c r="H17" s="10">
        <v>0.042</v>
      </c>
    </row>
    <row r="18">
      <c r="A18" s="5">
        <v>41935.0</v>
      </c>
      <c r="B18" s="6">
        <v>78.0</v>
      </c>
      <c r="C18" s="7">
        <v>1.23</v>
      </c>
      <c r="D18" s="8">
        <v>0.0348</v>
      </c>
      <c r="E18" s="9">
        <v>1266.0</v>
      </c>
      <c r="F18" s="10">
        <v>0.062</v>
      </c>
      <c r="G18" s="10">
        <v>0.109</v>
      </c>
      <c r="H18" s="10">
        <v>0.047</v>
      </c>
    </row>
    <row r="19">
      <c r="A19" s="5">
        <v>41936.0</v>
      </c>
      <c r="B19" s="6">
        <v>83.0</v>
      </c>
      <c r="C19" s="7">
        <v>1.26</v>
      </c>
      <c r="D19" s="8">
        <v>0.0351</v>
      </c>
      <c r="E19" s="9">
        <v>1378.0</v>
      </c>
      <c r="F19" s="10">
        <v>0.06</v>
      </c>
      <c r="G19" s="10">
        <v>0.1</v>
      </c>
      <c r="H19" s="10">
        <v>0.04</v>
      </c>
    </row>
    <row r="20">
      <c r="A20" s="5">
        <v>41937.0</v>
      </c>
      <c r="B20" s="6">
        <v>80.0</v>
      </c>
      <c r="C20" s="7">
        <v>1.04</v>
      </c>
      <c r="D20" s="8">
        <v>0.0286</v>
      </c>
      <c r="E20" s="9">
        <v>1353.0</v>
      </c>
      <c r="F20" s="10">
        <v>0.059</v>
      </c>
      <c r="G20" s="10">
        <v>0.113</v>
      </c>
      <c r="H20" s="10">
        <v>0.054</v>
      </c>
    </row>
    <row r="21">
      <c r="A21" s="5">
        <v>41938.0</v>
      </c>
      <c r="B21" s="6">
        <v>87.0</v>
      </c>
      <c r="C21" s="7">
        <v>0.93</v>
      </c>
      <c r="D21" s="8">
        <v>0.0316</v>
      </c>
      <c r="E21" s="9">
        <v>1796.0</v>
      </c>
      <c r="F21" s="10">
        <v>0.048</v>
      </c>
      <c r="G21" s="10">
        <v>0.079</v>
      </c>
      <c r="H21" s="10">
        <v>0.031</v>
      </c>
    </row>
    <row r="22">
      <c r="A22" s="5">
        <v>41939.0</v>
      </c>
      <c r="B22" s="6">
        <v>90.0</v>
      </c>
      <c r="C22" s="7">
        <v>0.85</v>
      </c>
      <c r="D22" s="8">
        <v>0.033</v>
      </c>
      <c r="E22" s="9">
        <v>2091.0</v>
      </c>
      <c r="F22" s="10">
        <v>0.043</v>
      </c>
      <c r="G22" s="10">
        <v>0.088</v>
      </c>
      <c r="H22" s="10">
        <v>0.045</v>
      </c>
    </row>
    <row r="23">
      <c r="A23" s="5">
        <v>41940.0</v>
      </c>
      <c r="B23" s="6">
        <v>90.0</v>
      </c>
      <c r="C23" s="7">
        <v>1.15</v>
      </c>
      <c r="D23" s="8">
        <v>0.0409</v>
      </c>
      <c r="E23" s="9">
        <v>2015.0</v>
      </c>
      <c r="F23" s="10">
        <v>0.045</v>
      </c>
      <c r="G23" s="10">
        <v>0.074</v>
      </c>
      <c r="H23" s="10">
        <v>0.029</v>
      </c>
    </row>
    <row r="24">
      <c r="A24" s="5">
        <v>41941.0</v>
      </c>
      <c r="B24" s="6">
        <v>90.0</v>
      </c>
      <c r="C24" s="7">
        <v>1.28</v>
      </c>
      <c r="D24" s="8">
        <v>0.0403</v>
      </c>
      <c r="E24" s="9">
        <v>1662.0</v>
      </c>
      <c r="F24" s="10">
        <v>0.054</v>
      </c>
      <c r="G24" s="10">
        <v>0.081</v>
      </c>
      <c r="H24" s="10">
        <v>0.027</v>
      </c>
    </row>
    <row r="25">
      <c r="A25" s="5">
        <v>41942.0</v>
      </c>
      <c r="B25" s="6">
        <v>90.0</v>
      </c>
      <c r="C25" s="7">
        <v>1.66</v>
      </c>
      <c r="D25" s="8">
        <v>0.0443</v>
      </c>
      <c r="E25" s="9">
        <v>1449.0</v>
      </c>
      <c r="F25" s="10">
        <v>0.062</v>
      </c>
      <c r="G25" s="10">
        <v>0.085</v>
      </c>
      <c r="H25" s="10">
        <v>0.023</v>
      </c>
    </row>
    <row r="26">
      <c r="A26" s="5">
        <v>41943.0</v>
      </c>
      <c r="B26" s="6">
        <v>90.0</v>
      </c>
      <c r="C26" s="7">
        <v>1.64</v>
      </c>
      <c r="D26" s="8">
        <v>0.0463</v>
      </c>
      <c r="E26" s="9">
        <v>1554.0</v>
      </c>
      <c r="F26" s="10">
        <v>0.058</v>
      </c>
      <c r="G26" s="10">
        <v>0.074</v>
      </c>
      <c r="H26" s="10">
        <v>0.016</v>
      </c>
    </row>
    <row r="27">
      <c r="A27" s="5">
        <v>41944.0</v>
      </c>
      <c r="B27" s="6">
        <v>90.0</v>
      </c>
      <c r="C27" s="7">
        <v>1.42</v>
      </c>
      <c r="D27" s="8">
        <v>0.0436</v>
      </c>
      <c r="E27" s="9">
        <v>1715.0</v>
      </c>
      <c r="F27" s="10">
        <v>0.052</v>
      </c>
      <c r="G27" s="10">
        <v>0.075</v>
      </c>
      <c r="H27" s="10">
        <v>0.023</v>
      </c>
    </row>
    <row r="28">
      <c r="A28" s="5">
        <v>41945.0</v>
      </c>
      <c r="B28" s="6">
        <v>90.0</v>
      </c>
      <c r="C28" s="7">
        <v>1.09</v>
      </c>
      <c r="D28" s="8">
        <v>0.0371</v>
      </c>
      <c r="E28" s="9">
        <v>1867.0</v>
      </c>
      <c r="F28" s="10">
        <v>0.048</v>
      </c>
      <c r="G28" s="10">
        <v>0.073</v>
      </c>
      <c r="H28" s="10">
        <v>0.025</v>
      </c>
    </row>
    <row r="29">
      <c r="A29" s="5">
        <v>41946.0</v>
      </c>
      <c r="B29" s="6">
        <v>90.0</v>
      </c>
      <c r="C29" s="7">
        <v>1.12</v>
      </c>
      <c r="D29" s="8">
        <v>0.0361</v>
      </c>
      <c r="E29" s="9">
        <v>1737.0</v>
      </c>
      <c r="F29" s="10">
        <v>0.052</v>
      </c>
      <c r="G29" s="10">
        <v>0.077</v>
      </c>
      <c r="H29" s="10">
        <v>0.025</v>
      </c>
    </row>
    <row r="30">
      <c r="A30" s="5">
        <v>41947.0</v>
      </c>
      <c r="B30" s="6">
        <v>90.0</v>
      </c>
      <c r="C30" s="7">
        <v>1.28</v>
      </c>
      <c r="D30" s="8">
        <v>0.0411</v>
      </c>
      <c r="E30" s="9">
        <v>1723.0</v>
      </c>
      <c r="F30" s="10">
        <v>0.052</v>
      </c>
      <c r="G30" s="10">
        <v>0.126</v>
      </c>
      <c r="H30" s="10">
        <v>0.074</v>
      </c>
    </row>
    <row r="31">
      <c r="A31" s="5">
        <v>41948.0</v>
      </c>
      <c r="B31" s="6">
        <v>90.0</v>
      </c>
      <c r="C31" s="7">
        <v>1.37</v>
      </c>
      <c r="D31" s="8">
        <v>0.0389</v>
      </c>
      <c r="E31" s="9">
        <v>1507.0</v>
      </c>
      <c r="F31" s="10">
        <v>0.06</v>
      </c>
      <c r="G31" s="10">
        <v>0.104</v>
      </c>
      <c r="H31" s="10">
        <v>0.044</v>
      </c>
    </row>
    <row r="32">
      <c r="A32" s="5">
        <v>41949.0</v>
      </c>
      <c r="B32" s="6">
        <v>90.0</v>
      </c>
      <c r="C32" s="7">
        <v>1.35</v>
      </c>
      <c r="D32" s="8">
        <v>0.0409</v>
      </c>
      <c r="E32" s="9">
        <v>1548.0</v>
      </c>
      <c r="F32" s="10">
        <v>0.058</v>
      </c>
      <c r="G32" s="10">
        <v>0.119</v>
      </c>
      <c r="H32" s="10">
        <v>0.061</v>
      </c>
    </row>
    <row r="33">
      <c r="A33" s="5">
        <v>41950.0</v>
      </c>
      <c r="B33" s="6">
        <v>90.0</v>
      </c>
      <c r="C33" s="7">
        <v>1.35</v>
      </c>
      <c r="D33" s="8">
        <v>0.0369</v>
      </c>
      <c r="E33" s="9">
        <v>1451.0</v>
      </c>
      <c r="F33" s="10">
        <v>0.062</v>
      </c>
      <c r="G33" s="10">
        <v>0.12</v>
      </c>
      <c r="H33" s="10">
        <v>0.058</v>
      </c>
    </row>
    <row r="34">
      <c r="A34" s="5">
        <v>41951.0</v>
      </c>
      <c r="B34" s="6">
        <v>90.0</v>
      </c>
      <c r="C34" s="7">
        <v>1.29</v>
      </c>
      <c r="D34" s="8">
        <v>0.0364</v>
      </c>
      <c r="E34" s="9">
        <v>1463.0</v>
      </c>
      <c r="F34" s="10">
        <v>0.062</v>
      </c>
      <c r="G34" s="10">
        <v>0.116</v>
      </c>
      <c r="H34" s="10">
        <v>0.054</v>
      </c>
    </row>
    <row r="35">
      <c r="A35" s="5">
        <v>41952.0</v>
      </c>
      <c r="B35" s="6">
        <v>90.0</v>
      </c>
      <c r="C35" s="7">
        <v>1.08</v>
      </c>
      <c r="D35" s="8">
        <v>0.0334</v>
      </c>
      <c r="E35" s="9">
        <v>1633.0</v>
      </c>
      <c r="F35" s="10">
        <v>0.055</v>
      </c>
      <c r="G35" s="10">
        <v>0.129</v>
      </c>
      <c r="H35" s="10">
        <v>0.074</v>
      </c>
    </row>
    <row r="36">
      <c r="A36" s="5">
        <v>41953.0</v>
      </c>
      <c r="B36" s="6">
        <v>90.0</v>
      </c>
      <c r="C36" s="7">
        <v>1.12</v>
      </c>
      <c r="D36" s="8">
        <v>0.0318</v>
      </c>
      <c r="E36" s="9">
        <v>1501.0</v>
      </c>
      <c r="F36" s="10">
        <v>0.06</v>
      </c>
      <c r="G36" s="10">
        <v>0.134</v>
      </c>
      <c r="H36" s="10">
        <v>0.074</v>
      </c>
    </row>
    <row r="37">
      <c r="A37" s="5">
        <v>41954.0</v>
      </c>
      <c r="B37" s="6">
        <v>90.0</v>
      </c>
      <c r="C37" s="7">
        <v>1.37</v>
      </c>
      <c r="D37" s="8">
        <v>0.0356</v>
      </c>
      <c r="E37" s="9">
        <v>1398.0</v>
      </c>
      <c r="F37" s="10">
        <v>0.064</v>
      </c>
      <c r="G37" s="10">
        <v>0.115</v>
      </c>
      <c r="H37" s="10">
        <v>0.051</v>
      </c>
    </row>
    <row r="38">
      <c r="A38" s="5">
        <v>41955.0</v>
      </c>
      <c r="B38" s="6">
        <v>90.0</v>
      </c>
      <c r="C38" s="7">
        <v>1.38</v>
      </c>
      <c r="D38" s="8">
        <v>0.0326</v>
      </c>
      <c r="E38" s="9">
        <v>1207.0</v>
      </c>
      <c r="F38" s="10">
        <v>0.075</v>
      </c>
      <c r="G38" s="10">
        <v>0.12</v>
      </c>
      <c r="H38" s="10">
        <v>0.045</v>
      </c>
    </row>
    <row r="39">
      <c r="A39" s="5">
        <v>41956.0</v>
      </c>
      <c r="B39" s="6">
        <v>90.0</v>
      </c>
      <c r="C39" s="7">
        <v>1.23</v>
      </c>
      <c r="D39" s="8">
        <v>0.031</v>
      </c>
      <c r="E39" s="9">
        <v>1255.0</v>
      </c>
      <c r="F39" s="10">
        <v>0.072</v>
      </c>
      <c r="G39" s="10">
        <v>0.093</v>
      </c>
      <c r="H39" s="10">
        <v>0.021</v>
      </c>
    </row>
    <row r="40">
      <c r="A40" s="5">
        <v>41957.0</v>
      </c>
      <c r="B40" s="6">
        <v>90.0</v>
      </c>
      <c r="C40" s="7">
        <v>1.19</v>
      </c>
      <c r="D40" s="8">
        <v>0.03</v>
      </c>
      <c r="E40" s="9">
        <v>1237.0</v>
      </c>
      <c r="F40" s="10">
        <v>0.073</v>
      </c>
      <c r="G40" s="10">
        <v>0.108</v>
      </c>
      <c r="H40" s="10">
        <v>0.035</v>
      </c>
    </row>
    <row r="41">
      <c r="A41" s="5">
        <v>41958.0</v>
      </c>
      <c r="B41" s="6">
        <v>90.0</v>
      </c>
      <c r="C41" s="7">
        <v>1.17</v>
      </c>
      <c r="D41" s="8">
        <v>0.031</v>
      </c>
      <c r="E41" s="9">
        <v>1309.0</v>
      </c>
      <c r="F41" s="10">
        <v>0.069</v>
      </c>
      <c r="G41" s="10">
        <v>0.126</v>
      </c>
      <c r="H41" s="10">
        <v>0.057</v>
      </c>
    </row>
    <row r="42">
      <c r="A42" s="5">
        <v>41959.0</v>
      </c>
      <c r="B42" s="6">
        <v>90.0</v>
      </c>
      <c r="C42" s="7">
        <v>1.01</v>
      </c>
      <c r="D42" s="8">
        <v>0.0296</v>
      </c>
      <c r="E42" s="9">
        <v>1427.0</v>
      </c>
      <c r="F42" s="10">
        <v>0.063</v>
      </c>
      <c r="G42" s="10">
        <v>0.101</v>
      </c>
      <c r="H42" s="10">
        <v>0.038</v>
      </c>
    </row>
    <row r="43">
      <c r="A43" s="5">
        <v>41960.0</v>
      </c>
      <c r="B43" s="6">
        <v>90.0</v>
      </c>
      <c r="C43" s="7">
        <v>0.9</v>
      </c>
      <c r="D43" s="8">
        <v>0.0263</v>
      </c>
      <c r="E43" s="9">
        <v>1450.0</v>
      </c>
      <c r="F43" s="10">
        <v>0.062</v>
      </c>
      <c r="G43" s="10">
        <v>0.11</v>
      </c>
      <c r="H43" s="10">
        <v>0.048</v>
      </c>
    </row>
    <row r="44">
      <c r="A44" s="5">
        <v>41961.0</v>
      </c>
      <c r="B44" s="6">
        <v>90.0</v>
      </c>
      <c r="C44" s="7">
        <v>1.07</v>
      </c>
      <c r="D44" s="8">
        <v>0.0282</v>
      </c>
      <c r="E44" s="9">
        <v>1351.0</v>
      </c>
      <c r="F44" s="10">
        <v>0.067</v>
      </c>
      <c r="G44" s="10">
        <v>0.121</v>
      </c>
      <c r="H44" s="10">
        <v>0.054</v>
      </c>
    </row>
    <row r="45">
      <c r="A45" s="5">
        <v>41962.0</v>
      </c>
      <c r="B45" s="6">
        <v>90.0</v>
      </c>
      <c r="C45" s="7">
        <v>1.11</v>
      </c>
      <c r="D45" s="8">
        <v>0.0269</v>
      </c>
      <c r="E45" s="9">
        <v>1222.0</v>
      </c>
      <c r="F45" s="10">
        <v>0.074</v>
      </c>
      <c r="G45" s="10">
        <v>0.069</v>
      </c>
      <c r="H45" s="10">
        <v>-0.005</v>
      </c>
    </row>
    <row r="46">
      <c r="A46" s="5">
        <v>41963.0</v>
      </c>
      <c r="B46" s="6">
        <v>90.0</v>
      </c>
      <c r="C46" s="7">
        <v>1.42</v>
      </c>
      <c r="D46" s="8">
        <v>0.0327</v>
      </c>
      <c r="E46" s="9">
        <v>1071.0</v>
      </c>
      <c r="F46" s="10">
        <v>0.084</v>
      </c>
      <c r="G46" s="10">
        <v>0.084</v>
      </c>
      <c r="H46" s="10">
        <v>0.0</v>
      </c>
    </row>
    <row r="47">
      <c r="A47" s="5">
        <v>41964.0</v>
      </c>
      <c r="B47" s="6">
        <v>90.0</v>
      </c>
      <c r="C47" s="7">
        <v>1.25</v>
      </c>
      <c r="D47" s="8">
        <v>0.0301</v>
      </c>
      <c r="E47" s="9">
        <v>1196.0</v>
      </c>
      <c r="F47" s="10">
        <v>0.075</v>
      </c>
      <c r="G47" s="10">
        <v>0.085</v>
      </c>
      <c r="H47" s="10">
        <v>0.01</v>
      </c>
    </row>
    <row r="48">
      <c r="A48" s="5">
        <v>41965.0</v>
      </c>
      <c r="B48" s="6">
        <v>90.0</v>
      </c>
      <c r="C48" s="7">
        <v>1.15</v>
      </c>
      <c r="D48" s="8">
        <v>0.0331</v>
      </c>
      <c r="E48" s="9">
        <v>1378.0</v>
      </c>
      <c r="F48" s="10">
        <v>0.065</v>
      </c>
      <c r="G48" s="10">
        <v>0.077</v>
      </c>
      <c r="H48" s="10">
        <v>0.012</v>
      </c>
    </row>
    <row r="49">
      <c r="A49" s="5">
        <v>41966.0</v>
      </c>
      <c r="B49" s="6">
        <v>90.0</v>
      </c>
      <c r="C49" s="7">
        <v>1.11</v>
      </c>
      <c r="D49" s="8">
        <v>0.0333</v>
      </c>
      <c r="E49" s="9">
        <v>1432.0</v>
      </c>
      <c r="F49" s="10">
        <v>0.063</v>
      </c>
      <c r="G49" s="10">
        <v>0.038</v>
      </c>
      <c r="H49" s="10">
        <v>-0.025</v>
      </c>
    </row>
    <row r="50">
      <c r="A50" s="5">
        <v>41967.0</v>
      </c>
      <c r="B50" s="6">
        <v>90.0</v>
      </c>
      <c r="C50" s="7">
        <v>1.01</v>
      </c>
      <c r="D50" s="8">
        <v>0.0291</v>
      </c>
      <c r="E50" s="9">
        <v>1393.0</v>
      </c>
      <c r="F50" s="10">
        <v>0.065</v>
      </c>
      <c r="G50" s="10">
        <v>0.065</v>
      </c>
      <c r="H50" s="10">
        <v>0.0</v>
      </c>
    </row>
    <row r="51">
      <c r="A51" s="5">
        <v>41968.0</v>
      </c>
      <c r="B51" s="6">
        <v>90.0</v>
      </c>
      <c r="C51" s="7">
        <v>1.32</v>
      </c>
      <c r="D51" s="8">
        <v>0.0371</v>
      </c>
      <c r="E51" s="9">
        <v>1327.0</v>
      </c>
      <c r="F51" s="10">
        <v>0.068</v>
      </c>
      <c r="G51" s="10">
        <v>0.086</v>
      </c>
      <c r="H51" s="10">
        <v>0.018</v>
      </c>
    </row>
    <row r="52">
      <c r="A52" s="5">
        <v>41969.0</v>
      </c>
      <c r="B52" s="6">
        <v>90.0</v>
      </c>
      <c r="C52" s="7">
        <v>1.45</v>
      </c>
      <c r="D52" s="8">
        <v>0.0339</v>
      </c>
      <c r="E52" s="9">
        <v>1128.0</v>
      </c>
      <c r="F52" s="10">
        <v>0.08</v>
      </c>
      <c r="G52" s="10">
        <v>0.1</v>
      </c>
      <c r="H52" s="10">
        <v>0.02</v>
      </c>
    </row>
    <row r="53">
      <c r="A53" s="5">
        <v>41970.0</v>
      </c>
      <c r="B53" s="6">
        <v>90.0</v>
      </c>
      <c r="C53" s="7">
        <v>1.6</v>
      </c>
      <c r="D53" s="8">
        <v>0.0368</v>
      </c>
      <c r="E53" s="9">
        <v>1083.0</v>
      </c>
      <c r="F53" s="10">
        <v>0.083</v>
      </c>
      <c r="G53" s="10">
        <v>0.108</v>
      </c>
      <c r="H53" s="10">
        <v>0.025</v>
      </c>
    </row>
    <row r="54">
      <c r="A54" s="5">
        <v>41971.0</v>
      </c>
      <c r="B54" s="6">
        <v>90.0</v>
      </c>
      <c r="C54" s="7">
        <v>2.18</v>
      </c>
      <c r="D54" s="8">
        <v>0.0426</v>
      </c>
      <c r="E54" s="9">
        <v>935.0</v>
      </c>
      <c r="F54" s="10">
        <v>0.096</v>
      </c>
      <c r="G54" s="10">
        <v>0.119</v>
      </c>
      <c r="H54" s="10">
        <v>0.023</v>
      </c>
    </row>
    <row r="55">
      <c r="A55" s="5">
        <v>41972.0</v>
      </c>
      <c r="B55" s="6">
        <v>90.0</v>
      </c>
      <c r="C55" s="7">
        <v>1.96</v>
      </c>
      <c r="D55" s="8">
        <v>0.0428</v>
      </c>
      <c r="E55" s="9">
        <v>1046.0</v>
      </c>
      <c r="F55" s="10">
        <v>0.086</v>
      </c>
      <c r="G55" s="10">
        <v>0.115</v>
      </c>
      <c r="H55" s="10">
        <v>0.029</v>
      </c>
    </row>
    <row r="56">
      <c r="A56" s="5">
        <v>41973.0</v>
      </c>
      <c r="B56" s="6">
        <v>90.0</v>
      </c>
      <c r="C56" s="7">
        <v>1.52</v>
      </c>
      <c r="D56" s="8">
        <v>0.0393</v>
      </c>
      <c r="E56" s="9">
        <v>1214.0</v>
      </c>
      <c r="F56" s="10">
        <v>0.074</v>
      </c>
      <c r="G56" s="10">
        <v>0.103</v>
      </c>
      <c r="H56" s="10">
        <v>0.029</v>
      </c>
    </row>
    <row r="57">
      <c r="A57" s="5">
        <v>41974.0</v>
      </c>
      <c r="B57" s="6">
        <v>90.0</v>
      </c>
      <c r="C57" s="7">
        <v>1.1</v>
      </c>
      <c r="D57" s="8">
        <v>0.03</v>
      </c>
      <c r="E57" s="9">
        <v>1328.0</v>
      </c>
      <c r="F57" s="10">
        <v>0.068</v>
      </c>
      <c r="G57" s="10">
        <v>0.084</v>
      </c>
      <c r="H57" s="10">
        <v>0.016</v>
      </c>
    </row>
    <row r="58">
      <c r="A58" s="5">
        <v>41975.0</v>
      </c>
      <c r="B58" s="6">
        <v>90.0</v>
      </c>
      <c r="C58" s="7">
        <v>1.21</v>
      </c>
      <c r="D58" s="8">
        <v>0.0318</v>
      </c>
      <c r="E58" s="9">
        <v>1291.0</v>
      </c>
      <c r="F58" s="10">
        <v>0.07</v>
      </c>
      <c r="G58" s="10">
        <v>0.082</v>
      </c>
      <c r="H58" s="10">
        <v>0.012</v>
      </c>
    </row>
    <row r="59">
      <c r="A59" s="5">
        <v>41976.0</v>
      </c>
      <c r="B59" s="6">
        <v>90.0</v>
      </c>
      <c r="C59" s="7">
        <v>1.35</v>
      </c>
      <c r="D59" s="8">
        <v>0.0349</v>
      </c>
      <c r="E59" s="9">
        <v>1147.0</v>
      </c>
      <c r="F59" s="10">
        <v>0.078</v>
      </c>
      <c r="G59" s="10">
        <v>0.08</v>
      </c>
      <c r="H59" s="10">
        <v>0.002</v>
      </c>
    </row>
    <row r="60">
      <c r="A60" s="5">
        <v>41977.0</v>
      </c>
      <c r="B60" s="6">
        <v>90.0</v>
      </c>
      <c r="C60" s="7">
        <v>1.43</v>
      </c>
      <c r="D60" s="8">
        <v>0.0377</v>
      </c>
      <c r="E60" s="9">
        <v>1177.0</v>
      </c>
      <c r="F60" s="10">
        <v>0.076</v>
      </c>
      <c r="G60" s="10">
        <v>0.103</v>
      </c>
      <c r="H60" s="10">
        <v>0.027</v>
      </c>
    </row>
    <row r="61">
      <c r="A61" s="5">
        <v>41978.0</v>
      </c>
      <c r="B61" s="6">
        <v>90.0</v>
      </c>
      <c r="C61" s="7">
        <v>1.71</v>
      </c>
      <c r="D61" s="8">
        <v>0.0412</v>
      </c>
      <c r="E61" s="9">
        <v>1149.0</v>
      </c>
      <c r="F61" s="10">
        <v>0.078</v>
      </c>
      <c r="G61" s="10">
        <v>0.077</v>
      </c>
      <c r="H61" s="10">
        <v>-0.001</v>
      </c>
    </row>
    <row r="62">
      <c r="A62" s="5">
        <v>41979.0</v>
      </c>
      <c r="B62" s="6">
        <v>90.0</v>
      </c>
      <c r="C62" s="7">
        <v>1.38</v>
      </c>
      <c r="D62" s="8">
        <v>0.0343</v>
      </c>
      <c r="E62" s="9">
        <v>1171.0</v>
      </c>
      <c r="F62" s="10">
        <v>0.077</v>
      </c>
      <c r="G62" s="10">
        <v>0.103</v>
      </c>
      <c r="H62" s="10">
        <v>0.026</v>
      </c>
    </row>
    <row r="63">
      <c r="A63" s="5">
        <v>41980.0</v>
      </c>
      <c r="B63" s="6">
        <v>90.0</v>
      </c>
      <c r="C63" s="7">
        <v>1.06</v>
      </c>
      <c r="D63" s="8">
        <v>0.0287</v>
      </c>
      <c r="E63" s="9">
        <v>1335.0</v>
      </c>
      <c r="F63" s="10">
        <v>0.067</v>
      </c>
      <c r="G63" s="10">
        <v>0.075</v>
      </c>
      <c r="H63" s="10">
        <v>0.008</v>
      </c>
    </row>
    <row r="64">
      <c r="A64" s="5">
        <v>41981.0</v>
      </c>
      <c r="B64" s="6">
        <v>90.0</v>
      </c>
      <c r="C64" s="7">
        <v>1.02</v>
      </c>
      <c r="D64" s="8">
        <v>0.031</v>
      </c>
      <c r="E64" s="9">
        <v>1417.0</v>
      </c>
      <c r="F64" s="10">
        <v>0.064</v>
      </c>
      <c r="G64" s="10">
        <v>0.066</v>
      </c>
      <c r="H64" s="10">
        <v>0.002</v>
      </c>
    </row>
    <row r="65">
      <c r="A65" s="5">
        <v>41982.0</v>
      </c>
      <c r="B65" s="6">
        <v>90.0</v>
      </c>
      <c r="C65" s="7">
        <v>1.19</v>
      </c>
      <c r="D65" s="8">
        <v>0.0342</v>
      </c>
      <c r="E65" s="9">
        <v>1327.0</v>
      </c>
      <c r="F65" s="10">
        <v>0.068</v>
      </c>
      <c r="G65" s="10">
        <v>0.08</v>
      </c>
      <c r="H65" s="10">
        <v>0.012</v>
      </c>
    </row>
    <row r="66">
      <c r="A66" s="5">
        <v>41983.0</v>
      </c>
      <c r="B66" s="6">
        <v>90.0</v>
      </c>
      <c r="C66" s="7">
        <v>1.45</v>
      </c>
      <c r="D66" s="8">
        <v>0.0375</v>
      </c>
      <c r="E66" s="9">
        <v>1130.0</v>
      </c>
      <c r="F66" s="10">
        <v>0.08</v>
      </c>
      <c r="G66" s="10">
        <v>0.07</v>
      </c>
      <c r="H66" s="10">
        <v>-0.01</v>
      </c>
    </row>
    <row r="67">
      <c r="A67" s="5">
        <v>41984.0</v>
      </c>
      <c r="B67" s="6">
        <v>90.0</v>
      </c>
      <c r="C67" s="7">
        <v>1.5</v>
      </c>
      <c r="D67" s="8">
        <v>0.035</v>
      </c>
      <c r="E67" s="9">
        <v>1030.0</v>
      </c>
      <c r="F67" s="10">
        <v>0.087</v>
      </c>
      <c r="G67" s="10">
        <v>0.06</v>
      </c>
      <c r="H67" s="10">
        <v>-0.027</v>
      </c>
    </row>
    <row r="68">
      <c r="A68" s="5">
        <v>41985.0</v>
      </c>
      <c r="B68" s="6">
        <v>90.0</v>
      </c>
      <c r="C68" s="7">
        <v>1.68</v>
      </c>
      <c r="D68" s="8">
        <v>0.0362</v>
      </c>
      <c r="E68" s="9">
        <v>946.0</v>
      </c>
      <c r="F68" s="10">
        <v>0.095</v>
      </c>
      <c r="G68" s="10">
        <v>0.08</v>
      </c>
      <c r="H68" s="10">
        <v>-0.015</v>
      </c>
    </row>
    <row r="69">
      <c r="A69" s="5">
        <v>41986.0</v>
      </c>
      <c r="B69" s="6">
        <v>90.0</v>
      </c>
      <c r="C69" s="7">
        <v>1.42</v>
      </c>
      <c r="D69" s="8">
        <v>0.0353</v>
      </c>
      <c r="E69" s="9">
        <v>1085.0</v>
      </c>
      <c r="F69" s="10">
        <v>0.083</v>
      </c>
      <c r="G69" s="10">
        <v>0.095</v>
      </c>
      <c r="H69" s="10">
        <v>0.012</v>
      </c>
    </row>
    <row r="70">
      <c r="A70" s="5">
        <v>41987.0</v>
      </c>
      <c r="B70" s="6">
        <v>90.0</v>
      </c>
      <c r="C70" s="7">
        <v>1.34</v>
      </c>
      <c r="D70" s="8">
        <v>0.0328</v>
      </c>
      <c r="E70" s="9">
        <v>1077.0</v>
      </c>
      <c r="F70" s="10">
        <v>0.084</v>
      </c>
      <c r="G70" s="10">
        <v>0.084</v>
      </c>
      <c r="H70" s="10">
        <v>0.0</v>
      </c>
    </row>
    <row r="71">
      <c r="A71" s="5">
        <v>41988.0</v>
      </c>
      <c r="B71" s="6">
        <v>90.0</v>
      </c>
      <c r="C71" s="7">
        <v>1.47</v>
      </c>
      <c r="D71" s="8">
        <v>0.0346</v>
      </c>
      <c r="E71" s="9">
        <v>979.0</v>
      </c>
      <c r="F71" s="10">
        <v>0.092</v>
      </c>
      <c r="G71" s="10">
        <v>0.074</v>
      </c>
      <c r="H71" s="10">
        <v>-0.018</v>
      </c>
    </row>
    <row r="72">
      <c r="A72" s="5">
        <v>41989.0</v>
      </c>
      <c r="B72" s="6">
        <v>90.0</v>
      </c>
      <c r="C72" s="7">
        <v>1.37</v>
      </c>
      <c r="D72" s="8">
        <v>0.0327</v>
      </c>
      <c r="E72" s="9">
        <v>1013.0</v>
      </c>
      <c r="F72" s="10">
        <v>0.089</v>
      </c>
      <c r="G72" s="10">
        <v>0.053</v>
      </c>
      <c r="H72" s="10">
        <v>-0.036</v>
      </c>
    </row>
    <row r="73">
      <c r="A73" s="5">
        <v>41990.0</v>
      </c>
      <c r="B73" s="6">
        <v>90.0</v>
      </c>
      <c r="C73" s="7">
        <v>1.59</v>
      </c>
      <c r="D73" s="8">
        <v>0.0314</v>
      </c>
      <c r="E73" s="9">
        <v>893.0</v>
      </c>
      <c r="F73" s="10">
        <v>0.101</v>
      </c>
      <c r="G73" s="10">
        <v>0.093</v>
      </c>
      <c r="H73" s="10">
        <v>-0.008</v>
      </c>
    </row>
    <row r="74">
      <c r="A74" s="5">
        <v>41991.0</v>
      </c>
      <c r="B74" s="6">
        <v>90.0</v>
      </c>
      <c r="C74" s="7">
        <v>1.4</v>
      </c>
      <c r="D74" s="8">
        <v>0.0291</v>
      </c>
      <c r="E74" s="9">
        <v>960.0</v>
      </c>
      <c r="F74" s="10">
        <v>0.094</v>
      </c>
      <c r="G74" s="10">
        <v>0.066</v>
      </c>
      <c r="H74" s="10">
        <v>-0.028</v>
      </c>
    </row>
    <row r="75">
      <c r="A75" s="5">
        <v>41992.0</v>
      </c>
      <c r="B75" s="6">
        <v>90.0</v>
      </c>
      <c r="C75" s="7">
        <v>1.29</v>
      </c>
      <c r="D75" s="8">
        <v>0.0274</v>
      </c>
      <c r="E75" s="9">
        <v>889.0</v>
      </c>
      <c r="F75" s="10">
        <v>0.101</v>
      </c>
      <c r="G75" s="10">
        <v>0.114</v>
      </c>
      <c r="H75" s="10">
        <v>0.013</v>
      </c>
    </row>
    <row r="76">
      <c r="A76" s="5">
        <v>41993.0</v>
      </c>
      <c r="B76" s="6">
        <v>90.0</v>
      </c>
      <c r="C76" s="7">
        <v>1.45</v>
      </c>
      <c r="D76" s="8">
        <v>0.0306</v>
      </c>
      <c r="E76" s="9">
        <v>908.0</v>
      </c>
      <c r="F76" s="10">
        <v>0.099</v>
      </c>
      <c r="G76" s="10">
        <v>0.092</v>
      </c>
      <c r="H76" s="10">
        <v>-0.007</v>
      </c>
    </row>
    <row r="77">
      <c r="A77" s="5">
        <v>41994.0</v>
      </c>
      <c r="B77" s="6">
        <v>90.0</v>
      </c>
      <c r="C77" s="7">
        <v>1.17</v>
      </c>
      <c r="D77" s="8">
        <v>0.0264</v>
      </c>
      <c r="E77" s="9">
        <v>971.0</v>
      </c>
      <c r="F77" s="10">
        <v>0.093</v>
      </c>
      <c r="G77" s="10">
        <v>0.094</v>
      </c>
      <c r="H77" s="10">
        <v>0.001</v>
      </c>
    </row>
    <row r="78">
      <c r="A78" s="5">
        <v>41995.0</v>
      </c>
      <c r="B78" s="6">
        <v>90.0</v>
      </c>
      <c r="C78" s="7">
        <v>1.13</v>
      </c>
      <c r="D78" s="8">
        <v>0.0269</v>
      </c>
      <c r="E78" s="9">
        <v>940.0</v>
      </c>
      <c r="F78" s="10">
        <v>0.096</v>
      </c>
      <c r="G78" s="10">
        <v>0.07</v>
      </c>
      <c r="H78" s="10">
        <v>-0.026</v>
      </c>
    </row>
    <row r="79">
      <c r="A79" s="5">
        <v>41996.0</v>
      </c>
      <c r="B79" s="6">
        <v>90.0</v>
      </c>
      <c r="C79" s="7">
        <v>1.27</v>
      </c>
      <c r="D79" s="8">
        <v>0.0266</v>
      </c>
      <c r="E79" s="9">
        <v>896.0</v>
      </c>
      <c r="F79" s="10">
        <v>0.1</v>
      </c>
      <c r="G79" s="10">
        <v>0.086</v>
      </c>
      <c r="H79" s="10">
        <v>-0.014</v>
      </c>
    </row>
    <row r="80">
      <c r="A80" s="5">
        <v>41997.0</v>
      </c>
      <c r="B80" s="6">
        <v>90.0</v>
      </c>
      <c r="C80" s="7">
        <v>1.34</v>
      </c>
      <c r="D80" s="8">
        <v>0.0276</v>
      </c>
      <c r="E80" s="9">
        <v>905.0</v>
      </c>
      <c r="F80" s="10">
        <v>0.099</v>
      </c>
      <c r="G80" s="10">
        <v>0.123</v>
      </c>
      <c r="H80" s="10">
        <v>0.024</v>
      </c>
    </row>
    <row r="81">
      <c r="A81" s="5">
        <v>41998.0</v>
      </c>
      <c r="B81" s="6">
        <v>90.0</v>
      </c>
      <c r="C81" s="7">
        <v>1.1</v>
      </c>
      <c r="D81" s="8">
        <v>0.0223</v>
      </c>
      <c r="E81" s="9">
        <v>861.0</v>
      </c>
      <c r="F81" s="10">
        <v>0.105</v>
      </c>
      <c r="G81" s="10">
        <v>0.068</v>
      </c>
      <c r="H81" s="10">
        <v>-0.037</v>
      </c>
    </row>
    <row r="82">
      <c r="A82" s="5">
        <v>41999.0</v>
      </c>
      <c r="B82" s="6">
        <v>90.0</v>
      </c>
      <c r="C82" s="7">
        <v>1.06</v>
      </c>
      <c r="D82" s="8">
        <v>0.0249</v>
      </c>
      <c r="E82" s="9">
        <v>1064.0</v>
      </c>
      <c r="F82" s="10">
        <v>0.085</v>
      </c>
      <c r="G82" s="10">
        <v>0.064</v>
      </c>
      <c r="H82" s="10">
        <v>-0.021</v>
      </c>
    </row>
    <row r="83">
      <c r="A83" s="5">
        <v>42000.0</v>
      </c>
      <c r="B83" s="6">
        <v>90.0</v>
      </c>
      <c r="C83" s="7">
        <v>1.21</v>
      </c>
      <c r="D83" s="8">
        <v>0.0271</v>
      </c>
      <c r="E83" s="9">
        <v>932.0</v>
      </c>
      <c r="F83" s="10">
        <v>0.097</v>
      </c>
      <c r="G83" s="10">
        <v>0.049</v>
      </c>
      <c r="H83" s="10">
        <v>-0.048</v>
      </c>
    </row>
    <row r="84">
      <c r="A84" s="5">
        <v>42001.0</v>
      </c>
      <c r="B84" s="6">
        <v>90.0</v>
      </c>
      <c r="C84" s="7">
        <v>1.22</v>
      </c>
      <c r="D84" s="8">
        <v>0.029</v>
      </c>
      <c r="E84" s="9">
        <v>1014.0</v>
      </c>
      <c r="F84" s="10">
        <v>0.089</v>
      </c>
      <c r="G84" s="10">
        <v>0.085</v>
      </c>
      <c r="H84" s="10">
        <v>-0.004</v>
      </c>
    </row>
    <row r="85">
      <c r="A85" s="5">
        <v>42002.0</v>
      </c>
      <c r="B85" s="6">
        <v>90.0</v>
      </c>
      <c r="C85" s="7">
        <v>1.13</v>
      </c>
      <c r="D85" s="8">
        <v>0.0274</v>
      </c>
      <c r="E85" s="9">
        <v>1063.0</v>
      </c>
      <c r="F85" s="10">
        <v>0.085</v>
      </c>
      <c r="G85" s="10">
        <v>0.08</v>
      </c>
      <c r="H85" s="10">
        <v>-0.005</v>
      </c>
    </row>
    <row r="86">
      <c r="A86" s="5">
        <v>42003.0</v>
      </c>
      <c r="B86" s="6">
        <v>90.0</v>
      </c>
      <c r="C86" s="7">
        <v>1.08</v>
      </c>
      <c r="D86" s="8">
        <v>0.0258</v>
      </c>
      <c r="E86" s="9">
        <v>1049.0</v>
      </c>
      <c r="F86" s="10">
        <v>0.086</v>
      </c>
      <c r="G86" s="10">
        <v>0.101</v>
      </c>
      <c r="H86" s="10">
        <v>0.015</v>
      </c>
    </row>
    <row r="87">
      <c r="A87" s="5">
        <v>42004.0</v>
      </c>
      <c r="B87" s="6">
        <v>90.0</v>
      </c>
      <c r="C87" s="7">
        <v>1.1</v>
      </c>
      <c r="D87" s="8">
        <v>0.0264</v>
      </c>
      <c r="E87" s="9">
        <v>1078.0</v>
      </c>
      <c r="F87" s="10">
        <v>0.083</v>
      </c>
      <c r="G87" s="10">
        <v>0.133</v>
      </c>
      <c r="H87" s="10">
        <v>0.05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9</v>
      </c>
      <c r="D1" s="11" t="s">
        <v>10</v>
      </c>
      <c r="E1" s="11" t="s">
        <v>11</v>
      </c>
      <c r="F1" s="11" t="s">
        <v>12</v>
      </c>
    </row>
    <row r="2">
      <c r="A2" s="5">
        <v>41852.0</v>
      </c>
      <c r="B2" s="9">
        <v>5.0</v>
      </c>
      <c r="C2" s="12">
        <v>0.36</v>
      </c>
      <c r="D2" s="13">
        <f t="shared" ref="D2:D68" si="1">B2</f>
        <v>5</v>
      </c>
      <c r="E2" s="14">
        <f t="shared" ref="E2:E154" si="2">D2/B2</f>
        <v>1</v>
      </c>
      <c r="F2" s="15">
        <f t="shared" ref="F2:F154" si="3">C2/B2</f>
        <v>0.072</v>
      </c>
    </row>
    <row r="3">
      <c r="A3" s="5">
        <v>41853.0</v>
      </c>
      <c r="B3" s="9">
        <v>8.0</v>
      </c>
      <c r="C3" s="12">
        <v>0.73</v>
      </c>
      <c r="D3" s="13">
        <f t="shared" si="1"/>
        <v>8</v>
      </c>
      <c r="E3" s="14">
        <f t="shared" si="2"/>
        <v>1</v>
      </c>
      <c r="F3" s="15">
        <f t="shared" si="3"/>
        <v>0.09125</v>
      </c>
    </row>
    <row r="4">
      <c r="A4" s="5">
        <v>41854.0</v>
      </c>
      <c r="B4" s="9">
        <v>4.0</v>
      </c>
      <c r="C4" s="12">
        <v>0.28</v>
      </c>
      <c r="D4" s="13">
        <f t="shared" si="1"/>
        <v>4</v>
      </c>
      <c r="E4" s="14">
        <f t="shared" si="2"/>
        <v>1</v>
      </c>
      <c r="F4" s="15">
        <f t="shared" si="3"/>
        <v>0.07</v>
      </c>
    </row>
    <row r="5">
      <c r="A5" s="5">
        <v>41855.0</v>
      </c>
      <c r="B5" s="9">
        <v>4.0</v>
      </c>
      <c r="C5" s="12">
        <v>0.34</v>
      </c>
      <c r="D5" s="13">
        <f t="shared" si="1"/>
        <v>4</v>
      </c>
      <c r="E5" s="14">
        <f t="shared" si="2"/>
        <v>1</v>
      </c>
      <c r="F5" s="15">
        <f t="shared" si="3"/>
        <v>0.085</v>
      </c>
    </row>
    <row r="6">
      <c r="A6" s="5">
        <v>41856.0</v>
      </c>
      <c r="B6" s="9">
        <v>9.0</v>
      </c>
      <c r="C6" s="12">
        <v>0.77</v>
      </c>
      <c r="D6" s="13">
        <f t="shared" si="1"/>
        <v>9</v>
      </c>
      <c r="E6" s="14">
        <f t="shared" si="2"/>
        <v>1</v>
      </c>
      <c r="F6" s="15">
        <f t="shared" si="3"/>
        <v>0.08555555556</v>
      </c>
    </row>
    <row r="7">
      <c r="A7" s="5">
        <v>41857.0</v>
      </c>
      <c r="B7" s="9">
        <v>6.0</v>
      </c>
      <c r="C7" s="12">
        <v>0.48</v>
      </c>
      <c r="D7" s="13">
        <f t="shared" si="1"/>
        <v>6</v>
      </c>
      <c r="E7" s="14">
        <f t="shared" si="2"/>
        <v>1</v>
      </c>
      <c r="F7" s="15">
        <f t="shared" si="3"/>
        <v>0.08</v>
      </c>
    </row>
    <row r="8">
      <c r="A8" s="5">
        <v>41858.0</v>
      </c>
      <c r="B8" s="9">
        <v>9.0</v>
      </c>
      <c r="C8" s="12">
        <v>0.74</v>
      </c>
      <c r="D8" s="13">
        <f t="shared" si="1"/>
        <v>9</v>
      </c>
      <c r="E8" s="14">
        <f t="shared" si="2"/>
        <v>1</v>
      </c>
      <c r="F8" s="15">
        <f t="shared" si="3"/>
        <v>0.08222222222</v>
      </c>
    </row>
    <row r="9">
      <c r="A9" s="5">
        <v>41859.0</v>
      </c>
      <c r="B9" s="9">
        <v>3.0</v>
      </c>
      <c r="C9" s="12">
        <v>0.26</v>
      </c>
      <c r="D9" s="13">
        <f t="shared" si="1"/>
        <v>3</v>
      </c>
      <c r="E9" s="14">
        <f t="shared" si="2"/>
        <v>1</v>
      </c>
      <c r="F9" s="15">
        <f t="shared" si="3"/>
        <v>0.08666666667</v>
      </c>
    </row>
    <row r="10">
      <c r="A10" s="5">
        <v>41860.0</v>
      </c>
      <c r="B10" s="9">
        <v>4.0</v>
      </c>
      <c r="C10" s="12">
        <v>0.28</v>
      </c>
      <c r="D10" s="13">
        <f t="shared" si="1"/>
        <v>4</v>
      </c>
      <c r="E10" s="14">
        <f t="shared" si="2"/>
        <v>1</v>
      </c>
      <c r="F10" s="15">
        <f t="shared" si="3"/>
        <v>0.07</v>
      </c>
    </row>
    <row r="11">
      <c r="A11" s="5">
        <v>41861.0</v>
      </c>
      <c r="B11" s="9">
        <v>15.0</v>
      </c>
      <c r="C11" s="12">
        <v>1.4</v>
      </c>
      <c r="D11" s="13">
        <f t="shared" si="1"/>
        <v>15</v>
      </c>
      <c r="E11" s="14">
        <f t="shared" si="2"/>
        <v>1</v>
      </c>
      <c r="F11" s="15">
        <f t="shared" si="3"/>
        <v>0.09333333333</v>
      </c>
    </row>
    <row r="12">
      <c r="A12" s="5">
        <v>41862.0</v>
      </c>
      <c r="B12" s="9">
        <v>8.0</v>
      </c>
      <c r="C12" s="12">
        <v>0.74</v>
      </c>
      <c r="D12" s="13">
        <f t="shared" si="1"/>
        <v>8</v>
      </c>
      <c r="E12" s="14">
        <f t="shared" si="2"/>
        <v>1</v>
      </c>
      <c r="F12" s="15">
        <f t="shared" si="3"/>
        <v>0.0925</v>
      </c>
    </row>
    <row r="13">
      <c r="A13" s="5">
        <v>41863.0</v>
      </c>
      <c r="B13" s="9">
        <v>24.0</v>
      </c>
      <c r="C13" s="12">
        <v>1.78</v>
      </c>
      <c r="D13" s="13">
        <f t="shared" si="1"/>
        <v>24</v>
      </c>
      <c r="E13" s="14">
        <f t="shared" si="2"/>
        <v>1</v>
      </c>
      <c r="F13" s="15">
        <f t="shared" si="3"/>
        <v>0.07416666667</v>
      </c>
    </row>
    <row r="14">
      <c r="A14" s="5">
        <v>41864.0</v>
      </c>
      <c r="B14" s="9">
        <v>20.0</v>
      </c>
      <c r="C14" s="12">
        <v>1.88</v>
      </c>
      <c r="D14" s="13">
        <f t="shared" si="1"/>
        <v>20</v>
      </c>
      <c r="E14" s="14">
        <f t="shared" si="2"/>
        <v>1</v>
      </c>
      <c r="F14" s="15">
        <f t="shared" si="3"/>
        <v>0.094</v>
      </c>
    </row>
    <row r="15">
      <c r="A15" s="5">
        <v>41865.0</v>
      </c>
      <c r="B15" s="9">
        <v>24.0</v>
      </c>
      <c r="C15" s="12">
        <v>2.3</v>
      </c>
      <c r="D15" s="13">
        <f t="shared" si="1"/>
        <v>24</v>
      </c>
      <c r="E15" s="14">
        <f t="shared" si="2"/>
        <v>1</v>
      </c>
      <c r="F15" s="15">
        <f t="shared" si="3"/>
        <v>0.09583333333</v>
      </c>
    </row>
    <row r="16">
      <c r="A16" s="5">
        <v>41866.0</v>
      </c>
      <c r="B16" s="9">
        <v>14.0</v>
      </c>
      <c r="C16" s="12">
        <v>0.98</v>
      </c>
      <c r="D16" s="13">
        <f t="shared" si="1"/>
        <v>14</v>
      </c>
      <c r="E16" s="14">
        <f t="shared" si="2"/>
        <v>1</v>
      </c>
      <c r="F16" s="15">
        <f t="shared" si="3"/>
        <v>0.07</v>
      </c>
    </row>
    <row r="17">
      <c r="A17" s="5">
        <v>41867.0</v>
      </c>
      <c r="B17" s="9">
        <v>16.0</v>
      </c>
      <c r="C17" s="12">
        <v>1.46</v>
      </c>
      <c r="D17" s="13">
        <f t="shared" si="1"/>
        <v>16</v>
      </c>
      <c r="E17" s="14">
        <f t="shared" si="2"/>
        <v>1</v>
      </c>
      <c r="F17" s="15">
        <f t="shared" si="3"/>
        <v>0.09125</v>
      </c>
    </row>
    <row r="18">
      <c r="A18" s="5">
        <v>41868.0</v>
      </c>
      <c r="B18" s="9">
        <v>15.0</v>
      </c>
      <c r="C18" s="12">
        <v>1.23</v>
      </c>
      <c r="D18" s="13">
        <f t="shared" si="1"/>
        <v>15</v>
      </c>
      <c r="E18" s="14">
        <f t="shared" si="2"/>
        <v>1</v>
      </c>
      <c r="F18" s="15">
        <f t="shared" si="3"/>
        <v>0.082</v>
      </c>
    </row>
    <row r="19">
      <c r="A19" s="5">
        <v>41869.0</v>
      </c>
      <c r="B19" s="9">
        <v>22.0</v>
      </c>
      <c r="C19" s="12">
        <v>1.58</v>
      </c>
      <c r="D19" s="13">
        <f t="shared" si="1"/>
        <v>22</v>
      </c>
      <c r="E19" s="14">
        <f t="shared" si="2"/>
        <v>1</v>
      </c>
      <c r="F19" s="15">
        <f t="shared" si="3"/>
        <v>0.07181818182</v>
      </c>
    </row>
    <row r="20">
      <c r="A20" s="5">
        <v>41870.0</v>
      </c>
      <c r="B20" s="9">
        <v>11.0</v>
      </c>
      <c r="C20" s="12">
        <v>1.0</v>
      </c>
      <c r="D20" s="13">
        <f t="shared" si="1"/>
        <v>11</v>
      </c>
      <c r="E20" s="14">
        <f t="shared" si="2"/>
        <v>1</v>
      </c>
      <c r="F20" s="15">
        <f t="shared" si="3"/>
        <v>0.09090909091</v>
      </c>
    </row>
    <row r="21">
      <c r="A21" s="5">
        <v>41871.0</v>
      </c>
      <c r="B21" s="9">
        <v>8.0</v>
      </c>
      <c r="C21" s="12">
        <v>0.72</v>
      </c>
      <c r="D21" s="13">
        <f t="shared" si="1"/>
        <v>8</v>
      </c>
      <c r="E21" s="14">
        <f t="shared" si="2"/>
        <v>1</v>
      </c>
      <c r="F21" s="15">
        <f t="shared" si="3"/>
        <v>0.09</v>
      </c>
    </row>
    <row r="22">
      <c r="A22" s="5">
        <v>41872.0</v>
      </c>
      <c r="B22" s="9">
        <v>10.0</v>
      </c>
      <c r="C22" s="12">
        <v>0.96</v>
      </c>
      <c r="D22" s="13">
        <f t="shared" si="1"/>
        <v>10</v>
      </c>
      <c r="E22" s="14">
        <f t="shared" si="2"/>
        <v>1</v>
      </c>
      <c r="F22" s="15">
        <f t="shared" si="3"/>
        <v>0.096</v>
      </c>
    </row>
    <row r="23">
      <c r="A23" s="5">
        <v>41873.0</v>
      </c>
      <c r="B23" s="9">
        <v>16.0</v>
      </c>
      <c r="C23" s="12">
        <v>1.25</v>
      </c>
      <c r="D23" s="13">
        <f t="shared" si="1"/>
        <v>16</v>
      </c>
      <c r="E23" s="14">
        <f t="shared" si="2"/>
        <v>1</v>
      </c>
      <c r="F23" s="15">
        <f t="shared" si="3"/>
        <v>0.078125</v>
      </c>
    </row>
    <row r="24">
      <c r="A24" s="5">
        <v>41874.0</v>
      </c>
      <c r="B24" s="9">
        <v>13.0</v>
      </c>
      <c r="C24" s="12">
        <v>1.03</v>
      </c>
      <c r="D24" s="13">
        <f t="shared" si="1"/>
        <v>13</v>
      </c>
      <c r="E24" s="14">
        <f t="shared" si="2"/>
        <v>1</v>
      </c>
      <c r="F24" s="15">
        <f t="shared" si="3"/>
        <v>0.07923076923</v>
      </c>
    </row>
    <row r="25">
      <c r="A25" s="5">
        <v>41875.0</v>
      </c>
      <c r="B25" s="9">
        <v>17.0</v>
      </c>
      <c r="C25" s="12">
        <v>1.39</v>
      </c>
      <c r="D25" s="13">
        <f t="shared" si="1"/>
        <v>17</v>
      </c>
      <c r="E25" s="14">
        <f t="shared" si="2"/>
        <v>1</v>
      </c>
      <c r="F25" s="15">
        <f t="shared" si="3"/>
        <v>0.08176470588</v>
      </c>
    </row>
    <row r="26">
      <c r="A26" s="5">
        <v>41876.0</v>
      </c>
      <c r="B26" s="9">
        <v>11.0</v>
      </c>
      <c r="C26" s="12">
        <v>1.09</v>
      </c>
      <c r="D26" s="13">
        <f t="shared" si="1"/>
        <v>11</v>
      </c>
      <c r="E26" s="14">
        <f t="shared" si="2"/>
        <v>1</v>
      </c>
      <c r="F26" s="15">
        <f t="shared" si="3"/>
        <v>0.09909090909</v>
      </c>
    </row>
    <row r="27">
      <c r="A27" s="5">
        <v>41877.0</v>
      </c>
      <c r="B27" s="9">
        <v>16.0</v>
      </c>
      <c r="C27" s="12">
        <v>1.23</v>
      </c>
      <c r="D27" s="13">
        <f t="shared" si="1"/>
        <v>16</v>
      </c>
      <c r="E27" s="14">
        <f t="shared" si="2"/>
        <v>1</v>
      </c>
      <c r="F27" s="15">
        <f t="shared" si="3"/>
        <v>0.076875</v>
      </c>
    </row>
    <row r="28">
      <c r="A28" s="5">
        <v>41878.0</v>
      </c>
      <c r="B28" s="9">
        <v>16.0</v>
      </c>
      <c r="C28" s="12">
        <v>1.33</v>
      </c>
      <c r="D28" s="13">
        <f t="shared" si="1"/>
        <v>16</v>
      </c>
      <c r="E28" s="14">
        <f t="shared" si="2"/>
        <v>1</v>
      </c>
      <c r="F28" s="15">
        <f t="shared" si="3"/>
        <v>0.083125</v>
      </c>
    </row>
    <row r="29">
      <c r="A29" s="5">
        <v>41879.0</v>
      </c>
      <c r="B29" s="9">
        <v>15.0</v>
      </c>
      <c r="C29" s="12">
        <v>1.25</v>
      </c>
      <c r="D29" s="13">
        <f t="shared" si="1"/>
        <v>15</v>
      </c>
      <c r="E29" s="14">
        <f t="shared" si="2"/>
        <v>1</v>
      </c>
      <c r="F29" s="15">
        <f t="shared" si="3"/>
        <v>0.08333333333</v>
      </c>
    </row>
    <row r="30">
      <c r="A30" s="5">
        <v>41880.0</v>
      </c>
      <c r="B30" s="9">
        <v>3.0</v>
      </c>
      <c r="C30" s="12">
        <v>0.26</v>
      </c>
      <c r="D30" s="13">
        <f t="shared" si="1"/>
        <v>3</v>
      </c>
      <c r="E30" s="14">
        <f t="shared" si="2"/>
        <v>1</v>
      </c>
      <c r="F30" s="15">
        <f t="shared" si="3"/>
        <v>0.08666666667</v>
      </c>
    </row>
    <row r="31">
      <c r="A31" s="5">
        <v>41881.0</v>
      </c>
      <c r="B31" s="9">
        <v>7.0</v>
      </c>
      <c r="C31" s="12">
        <v>0.61</v>
      </c>
      <c r="D31" s="13">
        <f t="shared" si="1"/>
        <v>7</v>
      </c>
      <c r="E31" s="14">
        <f t="shared" si="2"/>
        <v>1</v>
      </c>
      <c r="F31" s="15">
        <f t="shared" si="3"/>
        <v>0.08714285714</v>
      </c>
    </row>
    <row r="32">
      <c r="A32" s="5">
        <v>41882.0</v>
      </c>
      <c r="B32" s="9">
        <v>14.0</v>
      </c>
      <c r="C32" s="12">
        <v>1.27</v>
      </c>
      <c r="D32" s="13">
        <f t="shared" si="1"/>
        <v>14</v>
      </c>
      <c r="E32" s="14">
        <f t="shared" si="2"/>
        <v>1</v>
      </c>
      <c r="F32" s="15">
        <f t="shared" si="3"/>
        <v>0.09071428571</v>
      </c>
    </row>
    <row r="33">
      <c r="A33" s="5">
        <v>41883.0</v>
      </c>
      <c r="B33" s="9">
        <v>6.0</v>
      </c>
      <c r="C33" s="12">
        <v>0.51</v>
      </c>
      <c r="D33" s="13">
        <f t="shared" si="1"/>
        <v>6</v>
      </c>
      <c r="E33" s="14">
        <f t="shared" si="2"/>
        <v>1</v>
      </c>
      <c r="F33" s="15">
        <f t="shared" si="3"/>
        <v>0.085</v>
      </c>
    </row>
    <row r="34">
      <c r="A34" s="5">
        <v>41884.0</v>
      </c>
      <c r="B34" s="9">
        <v>5.0</v>
      </c>
      <c r="C34" s="12">
        <v>0.4</v>
      </c>
      <c r="D34" s="13">
        <f t="shared" si="1"/>
        <v>5</v>
      </c>
      <c r="E34" s="14">
        <f t="shared" si="2"/>
        <v>1</v>
      </c>
      <c r="F34" s="15">
        <f t="shared" si="3"/>
        <v>0.08</v>
      </c>
    </row>
    <row r="35">
      <c r="A35" s="5">
        <v>41885.0</v>
      </c>
      <c r="B35" s="9">
        <v>4.0</v>
      </c>
      <c r="C35" s="12">
        <v>0.3</v>
      </c>
      <c r="D35" s="13">
        <f t="shared" si="1"/>
        <v>4</v>
      </c>
      <c r="E35" s="14">
        <f t="shared" si="2"/>
        <v>1</v>
      </c>
      <c r="F35" s="15">
        <f t="shared" si="3"/>
        <v>0.075</v>
      </c>
    </row>
    <row r="36">
      <c r="A36" s="5">
        <v>41886.0</v>
      </c>
      <c r="B36" s="9">
        <v>9.0</v>
      </c>
      <c r="C36" s="12">
        <v>0.68</v>
      </c>
      <c r="D36" s="13">
        <f t="shared" si="1"/>
        <v>9</v>
      </c>
      <c r="E36" s="14">
        <f t="shared" si="2"/>
        <v>1</v>
      </c>
      <c r="F36" s="15">
        <f t="shared" si="3"/>
        <v>0.07555555556</v>
      </c>
    </row>
    <row r="37">
      <c r="A37" s="5">
        <v>41887.0</v>
      </c>
      <c r="B37" s="9">
        <v>4.0</v>
      </c>
      <c r="C37" s="12">
        <v>0.29</v>
      </c>
      <c r="D37" s="13">
        <f t="shared" si="1"/>
        <v>4</v>
      </c>
      <c r="E37" s="14">
        <f t="shared" si="2"/>
        <v>1</v>
      </c>
      <c r="F37" s="15">
        <f t="shared" si="3"/>
        <v>0.0725</v>
      </c>
    </row>
    <row r="38">
      <c r="A38" s="5">
        <v>41888.0</v>
      </c>
      <c r="B38" s="9">
        <v>7.0</v>
      </c>
      <c r="C38" s="12">
        <v>0.68</v>
      </c>
      <c r="D38" s="13">
        <f t="shared" si="1"/>
        <v>7</v>
      </c>
      <c r="E38" s="14">
        <f t="shared" si="2"/>
        <v>1</v>
      </c>
      <c r="F38" s="15">
        <f t="shared" si="3"/>
        <v>0.09714285714</v>
      </c>
    </row>
    <row r="39">
      <c r="A39" s="5">
        <v>41889.0</v>
      </c>
      <c r="B39" s="9">
        <v>2.0</v>
      </c>
      <c r="C39" s="12">
        <v>0.16</v>
      </c>
      <c r="D39" s="13">
        <f t="shared" si="1"/>
        <v>2</v>
      </c>
      <c r="E39" s="14">
        <f t="shared" si="2"/>
        <v>1</v>
      </c>
      <c r="F39" s="15">
        <f t="shared" si="3"/>
        <v>0.08</v>
      </c>
    </row>
    <row r="40">
      <c r="A40" s="5">
        <v>41890.0</v>
      </c>
      <c r="B40" s="9">
        <v>12.0</v>
      </c>
      <c r="C40" s="12">
        <v>0.9</v>
      </c>
      <c r="D40" s="13">
        <f t="shared" si="1"/>
        <v>12</v>
      </c>
      <c r="E40" s="14">
        <f t="shared" si="2"/>
        <v>1</v>
      </c>
      <c r="F40" s="15">
        <f t="shared" si="3"/>
        <v>0.075</v>
      </c>
    </row>
    <row r="41">
      <c r="A41" s="5">
        <v>41891.0</v>
      </c>
      <c r="B41" s="9">
        <v>18.0</v>
      </c>
      <c r="C41" s="12">
        <v>1.33</v>
      </c>
      <c r="D41" s="13">
        <f t="shared" si="1"/>
        <v>18</v>
      </c>
      <c r="E41" s="14">
        <f t="shared" si="2"/>
        <v>1</v>
      </c>
      <c r="F41" s="15">
        <f t="shared" si="3"/>
        <v>0.07388888889</v>
      </c>
    </row>
    <row r="42">
      <c r="A42" s="5">
        <v>41892.0</v>
      </c>
      <c r="B42" s="9">
        <v>18.0</v>
      </c>
      <c r="C42" s="12">
        <v>1.64</v>
      </c>
      <c r="D42" s="13">
        <f t="shared" si="1"/>
        <v>18</v>
      </c>
      <c r="E42" s="14">
        <f t="shared" si="2"/>
        <v>1</v>
      </c>
      <c r="F42" s="15">
        <f t="shared" si="3"/>
        <v>0.09111111111</v>
      </c>
    </row>
    <row r="43">
      <c r="A43" s="5">
        <v>41893.0</v>
      </c>
      <c r="B43" s="9">
        <v>21.0</v>
      </c>
      <c r="C43" s="12">
        <v>2.0</v>
      </c>
      <c r="D43" s="13">
        <f t="shared" si="1"/>
        <v>21</v>
      </c>
      <c r="E43" s="14">
        <f t="shared" si="2"/>
        <v>1</v>
      </c>
      <c r="F43" s="15">
        <f t="shared" si="3"/>
        <v>0.09523809524</v>
      </c>
    </row>
    <row r="44">
      <c r="A44" s="5">
        <v>41894.0</v>
      </c>
      <c r="B44" s="9">
        <v>13.0</v>
      </c>
      <c r="C44" s="12">
        <v>1.09</v>
      </c>
      <c r="D44" s="13">
        <f t="shared" si="1"/>
        <v>13</v>
      </c>
      <c r="E44" s="14">
        <f t="shared" si="2"/>
        <v>1</v>
      </c>
      <c r="F44" s="15">
        <f t="shared" si="3"/>
        <v>0.08384615385</v>
      </c>
    </row>
    <row r="45">
      <c r="A45" s="5">
        <v>41895.0</v>
      </c>
      <c r="B45" s="9">
        <v>14.0</v>
      </c>
      <c r="C45" s="12">
        <v>1.23</v>
      </c>
      <c r="D45" s="13">
        <f t="shared" si="1"/>
        <v>14</v>
      </c>
      <c r="E45" s="14">
        <f t="shared" si="2"/>
        <v>1</v>
      </c>
      <c r="F45" s="15">
        <f t="shared" si="3"/>
        <v>0.08785714286</v>
      </c>
    </row>
    <row r="46">
      <c r="A46" s="5">
        <v>41896.0</v>
      </c>
      <c r="B46" s="9">
        <v>22.0</v>
      </c>
      <c r="C46" s="12">
        <v>2.09</v>
      </c>
      <c r="D46" s="13">
        <f t="shared" si="1"/>
        <v>22</v>
      </c>
      <c r="E46" s="14">
        <f t="shared" si="2"/>
        <v>1</v>
      </c>
      <c r="F46" s="15">
        <f t="shared" si="3"/>
        <v>0.095</v>
      </c>
    </row>
    <row r="47">
      <c r="A47" s="5">
        <v>41897.0</v>
      </c>
      <c r="B47" s="9">
        <v>28.0</v>
      </c>
      <c r="C47" s="12">
        <v>2.13</v>
      </c>
      <c r="D47" s="13">
        <f t="shared" si="1"/>
        <v>28</v>
      </c>
      <c r="E47" s="14">
        <f t="shared" si="2"/>
        <v>1</v>
      </c>
      <c r="F47" s="15">
        <f t="shared" si="3"/>
        <v>0.07607142857</v>
      </c>
    </row>
    <row r="48">
      <c r="A48" s="5">
        <v>41898.0</v>
      </c>
      <c r="B48" s="9">
        <v>18.0</v>
      </c>
      <c r="C48" s="12">
        <v>1.35</v>
      </c>
      <c r="D48" s="13">
        <f t="shared" si="1"/>
        <v>18</v>
      </c>
      <c r="E48" s="14">
        <f t="shared" si="2"/>
        <v>1</v>
      </c>
      <c r="F48" s="15">
        <f t="shared" si="3"/>
        <v>0.075</v>
      </c>
    </row>
    <row r="49">
      <c r="A49" s="5">
        <v>41899.0</v>
      </c>
      <c r="B49" s="9">
        <v>17.0</v>
      </c>
      <c r="C49" s="12">
        <v>1.65</v>
      </c>
      <c r="D49" s="13">
        <f t="shared" si="1"/>
        <v>17</v>
      </c>
      <c r="E49" s="14">
        <f t="shared" si="2"/>
        <v>1</v>
      </c>
      <c r="F49" s="15">
        <f t="shared" si="3"/>
        <v>0.09705882353</v>
      </c>
    </row>
    <row r="50">
      <c r="A50" s="5">
        <v>41900.0</v>
      </c>
      <c r="B50" s="9">
        <v>18.0</v>
      </c>
      <c r="C50" s="12">
        <v>1.8</v>
      </c>
      <c r="D50" s="13">
        <f t="shared" si="1"/>
        <v>18</v>
      </c>
      <c r="E50" s="14">
        <f t="shared" si="2"/>
        <v>1</v>
      </c>
      <c r="F50" s="15">
        <f t="shared" si="3"/>
        <v>0.1</v>
      </c>
    </row>
    <row r="51">
      <c r="A51" s="5">
        <v>41901.0</v>
      </c>
      <c r="B51" s="9">
        <v>14.0</v>
      </c>
      <c r="C51" s="12">
        <v>1.01</v>
      </c>
      <c r="D51" s="13">
        <f t="shared" si="1"/>
        <v>14</v>
      </c>
      <c r="E51" s="14">
        <f t="shared" si="2"/>
        <v>1</v>
      </c>
      <c r="F51" s="15">
        <f t="shared" si="3"/>
        <v>0.07214285714</v>
      </c>
    </row>
    <row r="52">
      <c r="A52" s="5">
        <v>41902.0</v>
      </c>
      <c r="B52" s="9">
        <v>19.0</v>
      </c>
      <c r="C52" s="12">
        <v>1.52</v>
      </c>
      <c r="D52" s="13">
        <f t="shared" si="1"/>
        <v>19</v>
      </c>
      <c r="E52" s="14">
        <f t="shared" si="2"/>
        <v>1</v>
      </c>
      <c r="F52" s="15">
        <f t="shared" si="3"/>
        <v>0.08</v>
      </c>
    </row>
    <row r="53">
      <c r="A53" s="5">
        <v>41903.0</v>
      </c>
      <c r="B53" s="9">
        <v>17.0</v>
      </c>
      <c r="C53" s="12">
        <v>1.48</v>
      </c>
      <c r="D53" s="13">
        <f t="shared" si="1"/>
        <v>17</v>
      </c>
      <c r="E53" s="14">
        <f t="shared" si="2"/>
        <v>1</v>
      </c>
      <c r="F53" s="15">
        <f t="shared" si="3"/>
        <v>0.08705882353</v>
      </c>
    </row>
    <row r="54">
      <c r="A54" s="5">
        <v>41904.0</v>
      </c>
      <c r="B54" s="9">
        <v>28.0</v>
      </c>
      <c r="C54" s="12">
        <v>2.21</v>
      </c>
      <c r="D54" s="13">
        <f t="shared" si="1"/>
        <v>28</v>
      </c>
      <c r="E54" s="14">
        <f t="shared" si="2"/>
        <v>1</v>
      </c>
      <c r="F54" s="15">
        <f t="shared" si="3"/>
        <v>0.07892857143</v>
      </c>
    </row>
    <row r="55">
      <c r="A55" s="5">
        <v>41905.0</v>
      </c>
      <c r="B55" s="9">
        <v>12.0</v>
      </c>
      <c r="C55" s="12">
        <v>1.14</v>
      </c>
      <c r="D55" s="13">
        <f t="shared" si="1"/>
        <v>12</v>
      </c>
      <c r="E55" s="14">
        <f t="shared" si="2"/>
        <v>1</v>
      </c>
      <c r="F55" s="15">
        <f t="shared" si="3"/>
        <v>0.095</v>
      </c>
    </row>
    <row r="56">
      <c r="A56" s="5">
        <v>41906.0</v>
      </c>
      <c r="B56" s="9">
        <v>23.0</v>
      </c>
      <c r="C56" s="12">
        <v>1.98</v>
      </c>
      <c r="D56" s="13">
        <f t="shared" si="1"/>
        <v>23</v>
      </c>
      <c r="E56" s="14">
        <f t="shared" si="2"/>
        <v>1</v>
      </c>
      <c r="F56" s="15">
        <f t="shared" si="3"/>
        <v>0.08608695652</v>
      </c>
    </row>
    <row r="57">
      <c r="A57" s="5">
        <v>41907.0</v>
      </c>
      <c r="B57" s="9">
        <v>13.0</v>
      </c>
      <c r="C57" s="12">
        <v>1.05</v>
      </c>
      <c r="D57" s="13">
        <f t="shared" si="1"/>
        <v>13</v>
      </c>
      <c r="E57" s="14">
        <f t="shared" si="2"/>
        <v>1</v>
      </c>
      <c r="F57" s="15">
        <f t="shared" si="3"/>
        <v>0.08076923077</v>
      </c>
    </row>
    <row r="58">
      <c r="A58" s="5">
        <v>41908.0</v>
      </c>
      <c r="B58" s="9">
        <v>15.0</v>
      </c>
      <c r="C58" s="12">
        <v>1.5</v>
      </c>
      <c r="D58" s="13">
        <f t="shared" si="1"/>
        <v>15</v>
      </c>
      <c r="E58" s="14">
        <f t="shared" si="2"/>
        <v>1</v>
      </c>
      <c r="F58" s="15">
        <f t="shared" si="3"/>
        <v>0.1</v>
      </c>
    </row>
    <row r="59">
      <c r="A59" s="5">
        <v>41909.0</v>
      </c>
      <c r="B59" s="9">
        <v>14.0</v>
      </c>
      <c r="C59" s="12">
        <v>1.32</v>
      </c>
      <c r="D59" s="13">
        <f t="shared" si="1"/>
        <v>14</v>
      </c>
      <c r="E59" s="14">
        <f t="shared" si="2"/>
        <v>1</v>
      </c>
      <c r="F59" s="15">
        <f t="shared" si="3"/>
        <v>0.09428571429</v>
      </c>
    </row>
    <row r="60">
      <c r="A60" s="5">
        <v>41910.0</v>
      </c>
      <c r="B60" s="9">
        <v>13.0</v>
      </c>
      <c r="C60" s="12">
        <v>1.26</v>
      </c>
      <c r="D60" s="13">
        <f t="shared" si="1"/>
        <v>13</v>
      </c>
      <c r="E60" s="14">
        <f t="shared" si="2"/>
        <v>1</v>
      </c>
      <c r="F60" s="15">
        <f t="shared" si="3"/>
        <v>0.09692307692</v>
      </c>
    </row>
    <row r="61">
      <c r="A61" s="5">
        <v>41911.0</v>
      </c>
      <c r="B61" s="9">
        <v>5.0</v>
      </c>
      <c r="C61" s="12">
        <v>0.42</v>
      </c>
      <c r="D61" s="13">
        <f t="shared" si="1"/>
        <v>5</v>
      </c>
      <c r="E61" s="14">
        <f t="shared" si="2"/>
        <v>1</v>
      </c>
      <c r="F61" s="15">
        <f t="shared" si="3"/>
        <v>0.084</v>
      </c>
    </row>
    <row r="62">
      <c r="A62" s="5">
        <v>41912.0</v>
      </c>
      <c r="B62" s="9">
        <v>9.0</v>
      </c>
      <c r="C62" s="12">
        <v>0.65</v>
      </c>
      <c r="D62" s="13">
        <f t="shared" si="1"/>
        <v>9</v>
      </c>
      <c r="E62" s="14">
        <f t="shared" si="2"/>
        <v>1</v>
      </c>
      <c r="F62" s="15">
        <f t="shared" si="3"/>
        <v>0.07222222222</v>
      </c>
    </row>
    <row r="63">
      <c r="A63" s="5">
        <v>41913.0</v>
      </c>
      <c r="B63" s="9">
        <v>13.0</v>
      </c>
      <c r="C63" s="12">
        <v>1.26</v>
      </c>
      <c r="D63" s="13">
        <f t="shared" si="1"/>
        <v>13</v>
      </c>
      <c r="E63" s="14">
        <f t="shared" si="2"/>
        <v>1</v>
      </c>
      <c r="F63" s="15">
        <f t="shared" si="3"/>
        <v>0.09692307692</v>
      </c>
    </row>
    <row r="64">
      <c r="A64" s="5">
        <v>41914.0</v>
      </c>
      <c r="B64" s="9">
        <v>16.0</v>
      </c>
      <c r="C64" s="12">
        <v>1.55</v>
      </c>
      <c r="D64" s="13">
        <f t="shared" si="1"/>
        <v>16</v>
      </c>
      <c r="E64" s="14">
        <f t="shared" si="2"/>
        <v>1</v>
      </c>
      <c r="F64" s="15">
        <f t="shared" si="3"/>
        <v>0.096875</v>
      </c>
    </row>
    <row r="65">
      <c r="A65" s="5">
        <v>41915.0</v>
      </c>
      <c r="B65" s="9">
        <v>12.0</v>
      </c>
      <c r="C65" s="12">
        <v>1.07</v>
      </c>
      <c r="D65" s="13">
        <f t="shared" si="1"/>
        <v>12</v>
      </c>
      <c r="E65" s="14">
        <f t="shared" si="2"/>
        <v>1</v>
      </c>
      <c r="F65" s="15">
        <f t="shared" si="3"/>
        <v>0.08916666667</v>
      </c>
    </row>
    <row r="66">
      <c r="A66" s="5">
        <v>41916.0</v>
      </c>
      <c r="B66" s="9">
        <v>8.0</v>
      </c>
      <c r="C66" s="12">
        <v>0.63</v>
      </c>
      <c r="D66" s="13">
        <f t="shared" si="1"/>
        <v>8</v>
      </c>
      <c r="E66" s="14">
        <f t="shared" si="2"/>
        <v>1</v>
      </c>
      <c r="F66" s="15">
        <f t="shared" si="3"/>
        <v>0.07875</v>
      </c>
    </row>
    <row r="67">
      <c r="A67" s="5">
        <v>41917.0</v>
      </c>
      <c r="B67" s="9">
        <v>7.0</v>
      </c>
      <c r="C67" s="12">
        <v>0.69</v>
      </c>
      <c r="D67" s="13">
        <f t="shared" si="1"/>
        <v>7</v>
      </c>
      <c r="E67" s="14">
        <f t="shared" si="2"/>
        <v>1</v>
      </c>
      <c r="F67" s="15">
        <f t="shared" si="3"/>
        <v>0.09857142857</v>
      </c>
    </row>
    <row r="68">
      <c r="A68" s="5">
        <v>41918.0</v>
      </c>
      <c r="B68" s="9">
        <v>5.0</v>
      </c>
      <c r="C68" s="12">
        <v>0.39</v>
      </c>
      <c r="D68" s="13">
        <f t="shared" si="1"/>
        <v>5</v>
      </c>
      <c r="E68" s="14">
        <f t="shared" si="2"/>
        <v>1</v>
      </c>
      <c r="F68" s="15">
        <f t="shared" si="3"/>
        <v>0.078</v>
      </c>
    </row>
    <row r="69">
      <c r="A69" s="5">
        <v>41919.0</v>
      </c>
      <c r="B69" s="9">
        <v>3154.0</v>
      </c>
      <c r="C69" s="12">
        <v>291.8</v>
      </c>
      <c r="D69" s="13">
        <f>B69-'Ad Data'!E2</f>
        <v>1791</v>
      </c>
      <c r="E69" s="14">
        <f t="shared" si="2"/>
        <v>0.5678503488</v>
      </c>
      <c r="F69" s="15">
        <f t="shared" si="3"/>
        <v>0.09251743817</v>
      </c>
    </row>
    <row r="70">
      <c r="A70" s="5">
        <v>41920.0</v>
      </c>
      <c r="B70" s="9">
        <v>4211.0</v>
      </c>
      <c r="C70" s="12">
        <v>366.92</v>
      </c>
      <c r="D70" s="13">
        <f>B70-'Ad Data'!E3</f>
        <v>1088</v>
      </c>
      <c r="E70" s="14">
        <f t="shared" si="2"/>
        <v>0.2583709333</v>
      </c>
      <c r="F70" s="15">
        <f t="shared" si="3"/>
        <v>0.08713369746</v>
      </c>
    </row>
    <row r="71">
      <c r="A71" s="5">
        <v>41921.0</v>
      </c>
      <c r="B71" s="9">
        <v>4861.0</v>
      </c>
      <c r="C71" s="12">
        <v>337.35</v>
      </c>
      <c r="D71" s="13">
        <f>B71-'Ad Data'!E4</f>
        <v>2074</v>
      </c>
      <c r="E71" s="14">
        <f t="shared" si="2"/>
        <v>0.4266611808</v>
      </c>
      <c r="F71" s="15">
        <f t="shared" si="3"/>
        <v>0.06939930056</v>
      </c>
    </row>
    <row r="72">
      <c r="A72" s="5">
        <v>41922.0</v>
      </c>
      <c r="B72" s="9">
        <v>4662.0</v>
      </c>
      <c r="C72" s="12">
        <v>331.81</v>
      </c>
      <c r="D72" s="13">
        <f>B72-'Ad Data'!E5</f>
        <v>2162</v>
      </c>
      <c r="E72" s="14">
        <f t="shared" si="2"/>
        <v>0.4637494637</v>
      </c>
      <c r="F72" s="15">
        <f t="shared" si="3"/>
        <v>0.07117331617</v>
      </c>
    </row>
    <row r="73">
      <c r="A73" s="5">
        <v>41923.0</v>
      </c>
      <c r="B73" s="9">
        <v>4408.0</v>
      </c>
      <c r="C73" s="12">
        <v>360.7</v>
      </c>
      <c r="D73" s="13">
        <f>B73-'Ad Data'!E6</f>
        <v>1825</v>
      </c>
      <c r="E73" s="14">
        <f t="shared" si="2"/>
        <v>0.4140199637</v>
      </c>
      <c r="F73" s="15">
        <f t="shared" si="3"/>
        <v>0.08182849365</v>
      </c>
    </row>
    <row r="74">
      <c r="A74" s="5">
        <v>41924.0</v>
      </c>
      <c r="B74" s="9">
        <v>4401.0</v>
      </c>
      <c r="C74" s="12">
        <v>313.42</v>
      </c>
      <c r="D74" s="13">
        <f>B74-'Ad Data'!E7</f>
        <v>1860</v>
      </c>
      <c r="E74" s="14">
        <f t="shared" si="2"/>
        <v>0.4226312202</v>
      </c>
      <c r="F74" s="15">
        <f t="shared" si="3"/>
        <v>0.07121563281</v>
      </c>
    </row>
    <row r="75">
      <c r="A75" s="5">
        <v>41925.0</v>
      </c>
      <c r="B75" s="9">
        <v>3684.0</v>
      </c>
      <c r="C75" s="12">
        <v>266.1</v>
      </c>
      <c r="D75" s="13">
        <f>B75-'Ad Data'!E8</f>
        <v>1323</v>
      </c>
      <c r="E75" s="14">
        <f t="shared" si="2"/>
        <v>0.3591205212</v>
      </c>
      <c r="F75" s="15">
        <f t="shared" si="3"/>
        <v>0.07223127036</v>
      </c>
    </row>
    <row r="76">
      <c r="A76" s="5">
        <v>41926.0</v>
      </c>
      <c r="B76" s="9">
        <v>3519.0</v>
      </c>
      <c r="C76" s="12">
        <v>324.95</v>
      </c>
      <c r="D76" s="13">
        <f>B76-'Ad Data'!E9</f>
        <v>1559</v>
      </c>
      <c r="E76" s="14">
        <f t="shared" si="2"/>
        <v>0.4430235862</v>
      </c>
      <c r="F76" s="15">
        <f t="shared" si="3"/>
        <v>0.09234157431</v>
      </c>
    </row>
    <row r="77">
      <c r="A77" s="5">
        <v>41927.0</v>
      </c>
      <c r="B77" s="9">
        <v>3392.0</v>
      </c>
      <c r="C77" s="12">
        <v>308.08</v>
      </c>
      <c r="D77" s="13">
        <f>B77-'Ad Data'!E10</f>
        <v>1404</v>
      </c>
      <c r="E77" s="14">
        <f t="shared" si="2"/>
        <v>0.4139150943</v>
      </c>
      <c r="F77" s="15">
        <f t="shared" si="3"/>
        <v>0.0908254717</v>
      </c>
    </row>
    <row r="78">
      <c r="A78" s="5">
        <v>41928.0</v>
      </c>
      <c r="B78" s="9">
        <v>2756.0</v>
      </c>
      <c r="C78" s="12">
        <v>254.54</v>
      </c>
      <c r="D78" s="13">
        <f>B78-'Ad Data'!E11</f>
        <v>832</v>
      </c>
      <c r="E78" s="14">
        <f t="shared" si="2"/>
        <v>0.3018867925</v>
      </c>
      <c r="F78" s="15">
        <f t="shared" si="3"/>
        <v>0.09235849057</v>
      </c>
    </row>
    <row r="79">
      <c r="A79" s="5">
        <v>41929.0</v>
      </c>
      <c r="B79" s="9">
        <v>2469.0</v>
      </c>
      <c r="C79" s="12">
        <v>251.01</v>
      </c>
      <c r="D79" s="13">
        <f>B79-'Ad Data'!E12</f>
        <v>824</v>
      </c>
      <c r="E79" s="14">
        <f t="shared" si="2"/>
        <v>0.3337383556</v>
      </c>
      <c r="F79" s="15">
        <f t="shared" si="3"/>
        <v>0.1016646416</v>
      </c>
    </row>
    <row r="80">
      <c r="A80" s="5">
        <v>41930.0</v>
      </c>
      <c r="B80" s="9">
        <v>2326.0</v>
      </c>
      <c r="C80" s="12">
        <v>222.59</v>
      </c>
      <c r="D80" s="13">
        <f>B80-'Ad Data'!E13</f>
        <v>770</v>
      </c>
      <c r="E80" s="14">
        <f t="shared" si="2"/>
        <v>0.3310404127</v>
      </c>
      <c r="F80" s="15">
        <f t="shared" si="3"/>
        <v>0.09569647463</v>
      </c>
    </row>
    <row r="81">
      <c r="A81" s="5">
        <v>41931.0</v>
      </c>
      <c r="B81" s="9">
        <v>2305.0</v>
      </c>
      <c r="C81" s="12">
        <v>183.52</v>
      </c>
      <c r="D81" s="13">
        <f>B81-'Ad Data'!E14</f>
        <v>442</v>
      </c>
      <c r="E81" s="14">
        <f t="shared" si="2"/>
        <v>0.1917570499</v>
      </c>
      <c r="F81" s="15">
        <f t="shared" si="3"/>
        <v>0.07961822126</v>
      </c>
    </row>
    <row r="82">
      <c r="A82" s="5">
        <v>41932.0</v>
      </c>
      <c r="B82" s="9">
        <v>2451.0</v>
      </c>
      <c r="C82" s="12">
        <v>215.8</v>
      </c>
      <c r="D82" s="13">
        <f>B82-'Ad Data'!E15</f>
        <v>905</v>
      </c>
      <c r="E82" s="14">
        <f t="shared" si="2"/>
        <v>0.3692370461</v>
      </c>
      <c r="F82" s="15">
        <f t="shared" si="3"/>
        <v>0.08804569563</v>
      </c>
    </row>
    <row r="83">
      <c r="A83" s="5">
        <v>41933.0</v>
      </c>
      <c r="B83" s="9">
        <v>1892.0</v>
      </c>
      <c r="C83" s="12">
        <v>200.4</v>
      </c>
      <c r="D83" s="13">
        <f>B83-'Ad Data'!E16</f>
        <v>506</v>
      </c>
      <c r="E83" s="14">
        <f t="shared" si="2"/>
        <v>0.2674418605</v>
      </c>
      <c r="F83" s="15">
        <f t="shared" si="3"/>
        <v>0.1059196617</v>
      </c>
    </row>
    <row r="84">
      <c r="A84" s="5">
        <v>41934.0</v>
      </c>
      <c r="B84" s="9">
        <v>1785.0</v>
      </c>
      <c r="C84" s="12">
        <v>166.48</v>
      </c>
      <c r="D84" s="13">
        <f>B84-'Ad Data'!E17</f>
        <v>239</v>
      </c>
      <c r="E84" s="14">
        <f t="shared" si="2"/>
        <v>0.1338935574</v>
      </c>
      <c r="F84" s="15">
        <f t="shared" si="3"/>
        <v>0.09326610644</v>
      </c>
    </row>
    <row r="85">
      <c r="A85" s="5">
        <v>41935.0</v>
      </c>
      <c r="B85" s="9">
        <v>1791.0</v>
      </c>
      <c r="C85" s="12">
        <v>182.62</v>
      </c>
      <c r="D85" s="13">
        <f>B85-'Ad Data'!E18</f>
        <v>525</v>
      </c>
      <c r="E85" s="14">
        <f t="shared" si="2"/>
        <v>0.2931323283</v>
      </c>
      <c r="F85" s="15">
        <f t="shared" si="3"/>
        <v>0.1019653825</v>
      </c>
    </row>
    <row r="86">
      <c r="A86" s="5">
        <v>41936.0</v>
      </c>
      <c r="B86" s="9">
        <v>1750.0</v>
      </c>
      <c r="C86" s="12">
        <v>167.93</v>
      </c>
      <c r="D86" s="13">
        <f>B86-'Ad Data'!E19</f>
        <v>372</v>
      </c>
      <c r="E86" s="14">
        <f t="shared" si="2"/>
        <v>0.2125714286</v>
      </c>
      <c r="F86" s="15">
        <f t="shared" si="3"/>
        <v>0.09596</v>
      </c>
    </row>
    <row r="87">
      <c r="A87" s="5">
        <v>41937.0</v>
      </c>
      <c r="B87" s="9">
        <v>2068.0</v>
      </c>
      <c r="C87" s="12">
        <v>211.52</v>
      </c>
      <c r="D87" s="13">
        <f>B87-'Ad Data'!E20</f>
        <v>715</v>
      </c>
      <c r="E87" s="14">
        <f t="shared" si="2"/>
        <v>0.3457446809</v>
      </c>
      <c r="F87" s="15">
        <f t="shared" si="3"/>
        <v>0.1022823985</v>
      </c>
    </row>
    <row r="88">
      <c r="A88" s="5">
        <v>41938.0</v>
      </c>
      <c r="B88" s="9">
        <v>2186.0</v>
      </c>
      <c r="C88" s="12">
        <v>172.3</v>
      </c>
      <c r="D88" s="13">
        <f>B88-'Ad Data'!E21</f>
        <v>390</v>
      </c>
      <c r="E88" s="14">
        <f t="shared" si="2"/>
        <v>0.1784080512</v>
      </c>
      <c r="F88" s="15">
        <f t="shared" si="3"/>
        <v>0.07881976212</v>
      </c>
    </row>
    <row r="89">
      <c r="A89" s="5">
        <v>41939.0</v>
      </c>
      <c r="B89" s="9">
        <v>2958.0</v>
      </c>
      <c r="C89" s="12">
        <v>268.11</v>
      </c>
      <c r="D89" s="13">
        <f>B89-'Ad Data'!E22</f>
        <v>867</v>
      </c>
      <c r="E89" s="14">
        <f t="shared" si="2"/>
        <v>0.2931034483</v>
      </c>
      <c r="F89" s="15">
        <f t="shared" si="3"/>
        <v>0.09063894523</v>
      </c>
    </row>
    <row r="90">
      <c r="A90" s="5">
        <v>41940.0</v>
      </c>
      <c r="B90" s="9">
        <v>2771.0</v>
      </c>
      <c r="C90" s="12">
        <v>215.64</v>
      </c>
      <c r="D90" s="13">
        <f>B90-'Ad Data'!E23</f>
        <v>756</v>
      </c>
      <c r="E90" s="14">
        <f t="shared" si="2"/>
        <v>0.2728256947</v>
      </c>
      <c r="F90" s="15">
        <f t="shared" si="3"/>
        <v>0.07782028149</v>
      </c>
    </row>
    <row r="91">
      <c r="A91" s="5">
        <v>41941.0</v>
      </c>
      <c r="B91" s="9">
        <v>2412.0</v>
      </c>
      <c r="C91" s="12">
        <v>190.12</v>
      </c>
      <c r="D91" s="13">
        <f>B91-'Ad Data'!E24</f>
        <v>750</v>
      </c>
      <c r="E91" s="14">
        <f t="shared" si="2"/>
        <v>0.3109452736</v>
      </c>
      <c r="F91" s="15">
        <f t="shared" si="3"/>
        <v>0.0788225539</v>
      </c>
    </row>
    <row r="92">
      <c r="A92" s="5">
        <v>41942.0</v>
      </c>
      <c r="B92" s="9">
        <v>2378.0</v>
      </c>
      <c r="C92" s="12">
        <v>206.78</v>
      </c>
      <c r="D92" s="13">
        <f>B92-'Ad Data'!E25</f>
        <v>929</v>
      </c>
      <c r="E92" s="14">
        <f t="shared" si="2"/>
        <v>0.3906644239</v>
      </c>
      <c r="F92" s="15">
        <f t="shared" si="3"/>
        <v>0.08695542473</v>
      </c>
    </row>
    <row r="93">
      <c r="A93" s="5">
        <v>41943.0</v>
      </c>
      <c r="B93" s="9">
        <v>2341.0</v>
      </c>
      <c r="C93" s="12">
        <v>192.12</v>
      </c>
      <c r="D93" s="13">
        <f>B93-'Ad Data'!E26</f>
        <v>787</v>
      </c>
      <c r="E93" s="14">
        <f t="shared" si="2"/>
        <v>0.3361811192</v>
      </c>
      <c r="F93" s="15">
        <f t="shared" si="3"/>
        <v>0.08206749252</v>
      </c>
    </row>
    <row r="94">
      <c r="A94" s="5">
        <v>41944.0</v>
      </c>
      <c r="B94" s="9">
        <v>2753.0</v>
      </c>
      <c r="C94" s="12">
        <v>229.31</v>
      </c>
      <c r="D94" s="13">
        <f>B94-'Ad Data'!E27</f>
        <v>1038</v>
      </c>
      <c r="E94" s="14">
        <f t="shared" si="2"/>
        <v>0.3770432256</v>
      </c>
      <c r="F94" s="15">
        <f t="shared" si="3"/>
        <v>0.08329458772</v>
      </c>
    </row>
    <row r="95">
      <c r="A95" s="5">
        <v>41945.0</v>
      </c>
      <c r="B95" s="9">
        <v>2948.0</v>
      </c>
      <c r="C95" s="12">
        <v>218.45</v>
      </c>
      <c r="D95" s="13">
        <f>B95-'Ad Data'!E28</f>
        <v>1081</v>
      </c>
      <c r="E95" s="14">
        <f t="shared" si="2"/>
        <v>0.3666892809</v>
      </c>
      <c r="F95" s="15">
        <f t="shared" si="3"/>
        <v>0.07410108548</v>
      </c>
    </row>
    <row r="96">
      <c r="A96" s="5">
        <v>41946.0</v>
      </c>
      <c r="B96" s="9">
        <v>2602.0</v>
      </c>
      <c r="C96" s="12">
        <v>215.92</v>
      </c>
      <c r="D96" s="13">
        <f>B96-'Ad Data'!E29</f>
        <v>865</v>
      </c>
      <c r="E96" s="14">
        <f t="shared" si="2"/>
        <v>0.3324365872</v>
      </c>
      <c r="F96" s="15">
        <f t="shared" si="3"/>
        <v>0.08298232129</v>
      </c>
    </row>
    <row r="97">
      <c r="A97" s="5">
        <v>41947.0</v>
      </c>
      <c r="B97" s="9">
        <v>2716.0</v>
      </c>
      <c r="C97" s="12">
        <v>312.43</v>
      </c>
      <c r="D97" s="13">
        <f>B97-'Ad Data'!E30</f>
        <v>993</v>
      </c>
      <c r="E97" s="14">
        <f t="shared" si="2"/>
        <v>0.3656111929</v>
      </c>
      <c r="F97" s="15">
        <f t="shared" si="3"/>
        <v>0.115033137</v>
      </c>
    </row>
    <row r="98">
      <c r="A98" s="5">
        <v>41948.0</v>
      </c>
      <c r="B98" s="9">
        <v>2341.0</v>
      </c>
      <c r="C98" s="12">
        <v>225.95</v>
      </c>
      <c r="D98" s="13">
        <f>B98-'Ad Data'!E31</f>
        <v>834</v>
      </c>
      <c r="E98" s="14">
        <f t="shared" si="2"/>
        <v>0.3562580094</v>
      </c>
      <c r="F98" s="15">
        <f t="shared" si="3"/>
        <v>0.0965185818</v>
      </c>
    </row>
    <row r="99">
      <c r="A99" s="5">
        <v>41949.0</v>
      </c>
      <c r="B99" s="9">
        <v>2487.0</v>
      </c>
      <c r="C99" s="12">
        <v>259.33</v>
      </c>
      <c r="D99" s="13">
        <f>B99-'Ad Data'!E32</f>
        <v>939</v>
      </c>
      <c r="E99" s="14">
        <f t="shared" si="2"/>
        <v>0.3775633293</v>
      </c>
      <c r="F99" s="15">
        <f t="shared" si="3"/>
        <v>0.104274226</v>
      </c>
    </row>
    <row r="100">
      <c r="A100" s="5">
        <v>41950.0</v>
      </c>
      <c r="B100" s="9">
        <v>2105.0</v>
      </c>
      <c r="C100" s="12">
        <v>221.21</v>
      </c>
      <c r="D100" s="13">
        <f>B100-'Ad Data'!E33</f>
        <v>654</v>
      </c>
      <c r="E100" s="14">
        <f t="shared" si="2"/>
        <v>0.3106888361</v>
      </c>
      <c r="F100" s="15">
        <f t="shared" si="3"/>
        <v>0.105087886</v>
      </c>
    </row>
    <row r="101">
      <c r="A101" s="5">
        <v>41951.0</v>
      </c>
      <c r="B101" s="9">
        <v>2301.0</v>
      </c>
      <c r="C101" s="12">
        <v>233.4</v>
      </c>
      <c r="D101" s="13">
        <f>B101-'Ad Data'!E34</f>
        <v>838</v>
      </c>
      <c r="E101" s="14">
        <f t="shared" si="2"/>
        <v>0.3641894828</v>
      </c>
      <c r="F101" s="15">
        <f t="shared" si="3"/>
        <v>0.1014341591</v>
      </c>
    </row>
    <row r="102">
      <c r="A102" s="5">
        <v>41952.0</v>
      </c>
      <c r="B102" s="9">
        <v>2385.0</v>
      </c>
      <c r="C102" s="12">
        <v>285.11</v>
      </c>
      <c r="D102" s="13">
        <f>B102-'Ad Data'!E35</f>
        <v>752</v>
      </c>
      <c r="E102" s="14">
        <f t="shared" si="2"/>
        <v>0.3153039832</v>
      </c>
      <c r="F102" s="15">
        <f t="shared" si="3"/>
        <v>0.1195429769</v>
      </c>
    </row>
    <row r="103">
      <c r="A103" s="5">
        <v>41953.0</v>
      </c>
      <c r="B103" s="9">
        <v>2065.0</v>
      </c>
      <c r="C103" s="12">
        <v>255.28</v>
      </c>
      <c r="D103" s="13">
        <f>B103-'Ad Data'!E36</f>
        <v>564</v>
      </c>
      <c r="E103" s="14">
        <f t="shared" si="2"/>
        <v>0.2731234867</v>
      </c>
      <c r="F103" s="15">
        <f t="shared" si="3"/>
        <v>0.123622276</v>
      </c>
    </row>
    <row r="104">
      <c r="A104" s="5">
        <v>41954.0</v>
      </c>
      <c r="B104" s="9">
        <v>2022.0</v>
      </c>
      <c r="C104" s="12">
        <v>212.56</v>
      </c>
      <c r="D104" s="13">
        <f>B104-'Ad Data'!E37</f>
        <v>624</v>
      </c>
      <c r="E104" s="14">
        <f t="shared" si="2"/>
        <v>0.3086053412</v>
      </c>
      <c r="F104" s="15">
        <f t="shared" si="3"/>
        <v>0.10512364</v>
      </c>
    </row>
    <row r="105">
      <c r="A105" s="5">
        <v>41955.0</v>
      </c>
      <c r="B105" s="9">
        <v>1915.0</v>
      </c>
      <c r="C105" s="12">
        <v>207.85</v>
      </c>
      <c r="D105" s="13">
        <f>B105-'Ad Data'!E38</f>
        <v>708</v>
      </c>
      <c r="E105" s="14">
        <f t="shared" si="2"/>
        <v>0.3697127937</v>
      </c>
      <c r="F105" s="15">
        <f t="shared" si="3"/>
        <v>0.108537859</v>
      </c>
    </row>
    <row r="106">
      <c r="A106" s="5">
        <v>41956.0</v>
      </c>
      <c r="B106" s="9">
        <v>1829.0</v>
      </c>
      <c r="C106" s="12">
        <v>170.67</v>
      </c>
      <c r="D106" s="13">
        <f>B106-'Ad Data'!E39</f>
        <v>574</v>
      </c>
      <c r="E106" s="14">
        <f t="shared" si="2"/>
        <v>0.3138326955</v>
      </c>
      <c r="F106" s="15">
        <f t="shared" si="3"/>
        <v>0.09331328595</v>
      </c>
    </row>
    <row r="107">
      <c r="A107" s="5">
        <v>41957.0</v>
      </c>
      <c r="B107" s="9">
        <v>1864.0</v>
      </c>
      <c r="C107" s="12">
        <v>184.38</v>
      </c>
      <c r="D107" s="13">
        <f>B107-'Ad Data'!E40</f>
        <v>627</v>
      </c>
      <c r="E107" s="14">
        <f t="shared" si="2"/>
        <v>0.3363733906</v>
      </c>
      <c r="F107" s="15">
        <f t="shared" si="3"/>
        <v>0.09891630901</v>
      </c>
    </row>
    <row r="108">
      <c r="A108" s="5">
        <v>41958.0</v>
      </c>
      <c r="B108" s="9">
        <v>1992.0</v>
      </c>
      <c r="C108" s="12">
        <v>216.16</v>
      </c>
      <c r="D108" s="13">
        <f>B108-'Ad Data'!E41</f>
        <v>683</v>
      </c>
      <c r="E108" s="14">
        <f t="shared" si="2"/>
        <v>0.3428714859</v>
      </c>
      <c r="F108" s="15">
        <f t="shared" si="3"/>
        <v>0.1085140562</v>
      </c>
    </row>
    <row r="109">
      <c r="A109" s="5">
        <v>41959.0</v>
      </c>
      <c r="B109" s="9">
        <v>2059.0</v>
      </c>
      <c r="C109" s="12">
        <v>199.74</v>
      </c>
      <c r="D109" s="13">
        <f>B109-'Ad Data'!E42</f>
        <v>632</v>
      </c>
      <c r="E109" s="14">
        <f t="shared" si="2"/>
        <v>0.306945119</v>
      </c>
      <c r="F109" s="15">
        <f t="shared" si="3"/>
        <v>0.09700825644</v>
      </c>
    </row>
    <row r="110">
      <c r="A110" s="5">
        <v>41960.0</v>
      </c>
      <c r="B110" s="9">
        <v>1973.0</v>
      </c>
      <c r="C110" s="12">
        <v>198.73</v>
      </c>
      <c r="D110" s="13">
        <f>B110-'Ad Data'!E43</f>
        <v>523</v>
      </c>
      <c r="E110" s="14">
        <f t="shared" si="2"/>
        <v>0.2650785606</v>
      </c>
      <c r="F110" s="15">
        <f t="shared" si="3"/>
        <v>0.1007247846</v>
      </c>
    </row>
    <row r="111">
      <c r="A111" s="5">
        <v>41961.0</v>
      </c>
      <c r="B111" s="9">
        <v>1910.0</v>
      </c>
      <c r="C111" s="12">
        <v>206.51</v>
      </c>
      <c r="D111" s="13">
        <f>B111-'Ad Data'!E44</f>
        <v>559</v>
      </c>
      <c r="E111" s="14">
        <f t="shared" si="2"/>
        <v>0.2926701571</v>
      </c>
      <c r="F111" s="15">
        <f t="shared" si="3"/>
        <v>0.1081204188</v>
      </c>
    </row>
    <row r="112">
      <c r="A112" s="5">
        <v>41962.0</v>
      </c>
      <c r="B112" s="9">
        <v>1708.0</v>
      </c>
      <c r="C112" s="12">
        <v>130.97</v>
      </c>
      <c r="D112" s="13">
        <f>B112-'Ad Data'!E45</f>
        <v>486</v>
      </c>
      <c r="E112" s="14">
        <f t="shared" si="2"/>
        <v>0.2845433255</v>
      </c>
      <c r="F112" s="15">
        <f t="shared" si="3"/>
        <v>0.07668032787</v>
      </c>
    </row>
    <row r="113">
      <c r="A113" s="5">
        <v>41963.0</v>
      </c>
      <c r="B113" s="9">
        <v>1686.0</v>
      </c>
      <c r="C113" s="12">
        <v>137.93</v>
      </c>
      <c r="D113" s="13">
        <f>B113-'Ad Data'!E46</f>
        <v>615</v>
      </c>
      <c r="E113" s="14">
        <f t="shared" si="2"/>
        <v>0.3647686833</v>
      </c>
      <c r="F113" s="15">
        <f t="shared" si="3"/>
        <v>0.08180901542</v>
      </c>
    </row>
    <row r="114">
      <c r="A114" s="5">
        <v>41964.0</v>
      </c>
      <c r="B114" s="9">
        <v>1842.0</v>
      </c>
      <c r="C114" s="12">
        <v>164.32</v>
      </c>
      <c r="D114" s="13">
        <f>B114-'Ad Data'!E47</f>
        <v>646</v>
      </c>
      <c r="E114" s="14">
        <f t="shared" si="2"/>
        <v>0.3507057546</v>
      </c>
      <c r="F114" s="15">
        <f t="shared" si="3"/>
        <v>0.08920738328</v>
      </c>
    </row>
    <row r="115">
      <c r="A115" s="5">
        <v>41965.0</v>
      </c>
      <c r="B115" s="9">
        <v>2047.0</v>
      </c>
      <c r="C115" s="12">
        <v>155.61</v>
      </c>
      <c r="D115" s="13">
        <f>B115-'Ad Data'!E48</f>
        <v>669</v>
      </c>
      <c r="E115" s="14">
        <f t="shared" si="2"/>
        <v>0.3268197362</v>
      </c>
      <c r="F115" s="15">
        <f t="shared" si="3"/>
        <v>0.07601856375</v>
      </c>
    </row>
    <row r="116">
      <c r="A116" s="5">
        <v>41966.0</v>
      </c>
      <c r="B116" s="9">
        <v>2166.0</v>
      </c>
      <c r="C116" s="12">
        <v>118.27</v>
      </c>
      <c r="D116" s="13">
        <f>B116-'Ad Data'!E49</f>
        <v>734</v>
      </c>
      <c r="E116" s="14">
        <f t="shared" si="2"/>
        <v>0.3388734995</v>
      </c>
      <c r="F116" s="15">
        <f t="shared" si="3"/>
        <v>0.05460295476</v>
      </c>
    </row>
    <row r="117">
      <c r="A117" s="5">
        <v>41967.0</v>
      </c>
      <c r="B117" s="9">
        <v>1982.0</v>
      </c>
      <c r="C117" s="12">
        <v>144.14</v>
      </c>
      <c r="D117" s="13">
        <f>B117-'Ad Data'!E50</f>
        <v>589</v>
      </c>
      <c r="E117" s="14">
        <f t="shared" si="2"/>
        <v>0.2971745711</v>
      </c>
      <c r="F117" s="15">
        <f t="shared" si="3"/>
        <v>0.07272452069</v>
      </c>
    </row>
    <row r="118">
      <c r="A118" s="5">
        <v>41968.0</v>
      </c>
      <c r="B118" s="9">
        <v>1823.0</v>
      </c>
      <c r="C118" s="12">
        <v>162.23</v>
      </c>
      <c r="D118" s="13">
        <f>B118-'Ad Data'!E51</f>
        <v>496</v>
      </c>
      <c r="E118" s="14">
        <f t="shared" si="2"/>
        <v>0.2720789907</v>
      </c>
      <c r="F118" s="15">
        <f t="shared" si="3"/>
        <v>0.08899067471</v>
      </c>
    </row>
    <row r="119">
      <c r="A119" s="5">
        <v>41969.0</v>
      </c>
      <c r="B119" s="9">
        <v>1557.0</v>
      </c>
      <c r="C119" s="12">
        <v>147.12</v>
      </c>
      <c r="D119" s="13">
        <f>B119-'Ad Data'!E52</f>
        <v>429</v>
      </c>
      <c r="E119" s="14">
        <f t="shared" si="2"/>
        <v>0.2755298651</v>
      </c>
      <c r="F119" s="15">
        <f t="shared" si="3"/>
        <v>0.0944894027</v>
      </c>
    </row>
    <row r="120">
      <c r="A120" s="5">
        <v>41970.0</v>
      </c>
      <c r="B120" s="9">
        <v>1498.0</v>
      </c>
      <c r="C120" s="12">
        <v>148.92</v>
      </c>
      <c r="D120" s="13">
        <f>B120-'Ad Data'!E53</f>
        <v>415</v>
      </c>
      <c r="E120" s="14">
        <f t="shared" si="2"/>
        <v>0.2770360481</v>
      </c>
      <c r="F120" s="15">
        <f t="shared" si="3"/>
        <v>0.09941255007</v>
      </c>
    </row>
    <row r="121">
      <c r="A121" s="5">
        <v>41971.0</v>
      </c>
      <c r="B121" s="9">
        <v>1290.0</v>
      </c>
      <c r="C121" s="12">
        <v>137.18</v>
      </c>
      <c r="D121" s="13">
        <f>B121-'Ad Data'!E54</f>
        <v>355</v>
      </c>
      <c r="E121" s="14">
        <f t="shared" si="2"/>
        <v>0.2751937984</v>
      </c>
      <c r="F121" s="15">
        <f t="shared" si="3"/>
        <v>0.1063410853</v>
      </c>
    </row>
    <row r="122">
      <c r="A122" s="5">
        <v>41972.0</v>
      </c>
      <c r="B122" s="9">
        <v>1573.0</v>
      </c>
      <c r="C122" s="12">
        <v>168.77</v>
      </c>
      <c r="D122" s="13">
        <f>B122-'Ad Data'!E55</f>
        <v>527</v>
      </c>
      <c r="E122" s="14">
        <f t="shared" si="2"/>
        <v>0.3350286078</v>
      </c>
      <c r="F122" s="15">
        <f t="shared" si="3"/>
        <v>0.1072917991</v>
      </c>
    </row>
    <row r="123">
      <c r="A123" s="5">
        <v>41973.0</v>
      </c>
      <c r="B123" s="9">
        <v>1731.0</v>
      </c>
      <c r="C123" s="12">
        <v>164.85</v>
      </c>
      <c r="D123" s="13">
        <f>B123-'Ad Data'!E56</f>
        <v>517</v>
      </c>
      <c r="E123" s="14">
        <f t="shared" si="2"/>
        <v>0.2986712883</v>
      </c>
      <c r="F123" s="15">
        <f t="shared" si="3"/>
        <v>0.0952339688</v>
      </c>
    </row>
    <row r="124">
      <c r="A124" s="5">
        <v>41974.0</v>
      </c>
      <c r="B124" s="9">
        <v>1738.0</v>
      </c>
      <c r="C124" s="12">
        <v>140.66</v>
      </c>
      <c r="D124" s="13">
        <f>B124-'Ad Data'!E57</f>
        <v>410</v>
      </c>
      <c r="E124" s="14">
        <f t="shared" si="2"/>
        <v>0.2359033372</v>
      </c>
      <c r="F124" s="15">
        <f t="shared" si="3"/>
        <v>0.08093210587</v>
      </c>
    </row>
    <row r="125">
      <c r="A125" s="5">
        <v>41975.0</v>
      </c>
      <c r="B125" s="9">
        <v>1729.0</v>
      </c>
      <c r="C125" s="12">
        <v>139.59</v>
      </c>
      <c r="D125" s="13">
        <f>B125-'Ad Data'!E58</f>
        <v>438</v>
      </c>
      <c r="E125" s="14">
        <f t="shared" si="2"/>
        <v>0.2533256217</v>
      </c>
      <c r="F125" s="15">
        <f t="shared" si="3"/>
        <v>0.08073452863</v>
      </c>
    </row>
    <row r="126">
      <c r="A126" s="5">
        <v>41976.0</v>
      </c>
      <c r="B126" s="9">
        <v>1757.0</v>
      </c>
      <c r="C126" s="12">
        <v>143.61</v>
      </c>
      <c r="D126" s="13">
        <f>B126-'Ad Data'!E59</f>
        <v>610</v>
      </c>
      <c r="E126" s="14">
        <f t="shared" si="2"/>
        <v>0.3471826978</v>
      </c>
      <c r="F126" s="15">
        <f t="shared" si="3"/>
        <v>0.08173591349</v>
      </c>
    </row>
    <row r="127">
      <c r="A127" s="5">
        <v>41977.0</v>
      </c>
      <c r="B127" s="9">
        <v>1836.0</v>
      </c>
      <c r="C127" s="12">
        <v>173.29</v>
      </c>
      <c r="D127" s="13">
        <f>B127-'Ad Data'!E60</f>
        <v>659</v>
      </c>
      <c r="E127" s="14">
        <f t="shared" si="2"/>
        <v>0.3589324619</v>
      </c>
      <c r="F127" s="15">
        <f t="shared" si="3"/>
        <v>0.09438453159</v>
      </c>
    </row>
    <row r="128">
      <c r="A128" s="5">
        <v>41978.0</v>
      </c>
      <c r="B128" s="9">
        <v>1927.0</v>
      </c>
      <c r="C128" s="12">
        <v>160.83</v>
      </c>
      <c r="D128" s="13">
        <f>B128-'Ad Data'!E61</f>
        <v>778</v>
      </c>
      <c r="E128" s="14">
        <f t="shared" si="2"/>
        <v>0.4037363778</v>
      </c>
      <c r="F128" s="15">
        <f t="shared" si="3"/>
        <v>0.08346133887</v>
      </c>
    </row>
    <row r="129">
      <c r="A129" s="5">
        <v>41979.0</v>
      </c>
      <c r="B129" s="9">
        <v>2088.0</v>
      </c>
      <c r="C129" s="12">
        <v>205.89</v>
      </c>
      <c r="D129" s="13">
        <f>B129-'Ad Data'!E62</f>
        <v>917</v>
      </c>
      <c r="E129" s="14">
        <f t="shared" si="2"/>
        <v>0.4391762452</v>
      </c>
      <c r="F129" s="15">
        <f t="shared" si="3"/>
        <v>0.09860632184</v>
      </c>
    </row>
    <row r="130">
      <c r="A130" s="5">
        <v>41980.0</v>
      </c>
      <c r="B130" s="9">
        <v>2447.0</v>
      </c>
      <c r="C130" s="12">
        <v>202.43</v>
      </c>
      <c r="D130" s="13">
        <f>B130-'Ad Data'!E63</f>
        <v>1112</v>
      </c>
      <c r="E130" s="14">
        <f t="shared" si="2"/>
        <v>0.4544340008</v>
      </c>
      <c r="F130" s="15">
        <f t="shared" si="3"/>
        <v>0.08272578668</v>
      </c>
    </row>
    <row r="131">
      <c r="A131" s="5">
        <v>41981.0</v>
      </c>
      <c r="B131" s="9">
        <v>2641.0</v>
      </c>
      <c r="C131" s="12">
        <v>181.65</v>
      </c>
      <c r="D131" s="13">
        <f>B131-'Ad Data'!E64</f>
        <v>1224</v>
      </c>
      <c r="E131" s="14">
        <f t="shared" si="2"/>
        <v>0.4634608103</v>
      </c>
      <c r="F131" s="15">
        <f t="shared" si="3"/>
        <v>0.06878076486</v>
      </c>
    </row>
    <row r="132">
      <c r="A132" s="5">
        <v>41982.0</v>
      </c>
      <c r="B132" s="9">
        <v>2445.0</v>
      </c>
      <c r="C132" s="12">
        <v>204.54</v>
      </c>
      <c r="D132" s="13">
        <f>B132-'Ad Data'!E65</f>
        <v>1118</v>
      </c>
      <c r="E132" s="14">
        <f t="shared" si="2"/>
        <v>0.4572597137</v>
      </c>
      <c r="F132" s="15">
        <f t="shared" si="3"/>
        <v>0.08365644172</v>
      </c>
    </row>
    <row r="133">
      <c r="A133" s="5">
        <v>41983.0</v>
      </c>
      <c r="B133" s="9">
        <v>2064.0</v>
      </c>
      <c r="C133" s="12">
        <v>144.48</v>
      </c>
      <c r="D133" s="13">
        <f>B133-'Ad Data'!E66</f>
        <v>934</v>
      </c>
      <c r="E133" s="14">
        <f t="shared" si="2"/>
        <v>0.4525193798</v>
      </c>
      <c r="F133" s="15">
        <f t="shared" si="3"/>
        <v>0.07</v>
      </c>
    </row>
    <row r="134">
      <c r="A134" s="5">
        <v>41984.0</v>
      </c>
      <c r="B134" s="9">
        <v>1684.0</v>
      </c>
      <c r="C134" s="12">
        <v>122.62</v>
      </c>
      <c r="D134" s="13">
        <f>B134-'Ad Data'!E67</f>
        <v>654</v>
      </c>
      <c r="E134" s="14">
        <f t="shared" si="2"/>
        <v>0.3883610451</v>
      </c>
      <c r="F134" s="15">
        <f t="shared" si="3"/>
        <v>0.07281472684</v>
      </c>
    </row>
    <row r="135">
      <c r="A135" s="5">
        <v>41985.0</v>
      </c>
      <c r="B135" s="9">
        <v>1627.0</v>
      </c>
      <c r="C135" s="12">
        <v>124.03</v>
      </c>
      <c r="D135" s="13">
        <f>B135-'Ad Data'!E68</f>
        <v>681</v>
      </c>
      <c r="E135" s="14">
        <f t="shared" si="2"/>
        <v>0.4185617701</v>
      </c>
      <c r="F135" s="15">
        <f t="shared" si="3"/>
        <v>0.07623232944</v>
      </c>
    </row>
    <row r="136">
      <c r="A136" s="5">
        <v>41986.0</v>
      </c>
      <c r="B136" s="9">
        <v>1874.0</v>
      </c>
      <c r="C136" s="12">
        <v>169.35</v>
      </c>
      <c r="D136" s="13">
        <f>B136-'Ad Data'!E69</f>
        <v>789</v>
      </c>
      <c r="E136" s="14">
        <f t="shared" si="2"/>
        <v>0.4210245464</v>
      </c>
      <c r="F136" s="15">
        <f t="shared" si="3"/>
        <v>0.09036819637</v>
      </c>
    </row>
    <row r="137">
      <c r="A137" s="5">
        <v>41987.0</v>
      </c>
      <c r="B137" s="9">
        <v>2072.0</v>
      </c>
      <c r="C137" s="12">
        <v>164.1</v>
      </c>
      <c r="D137" s="13">
        <f>B137-'Ad Data'!E70</f>
        <v>995</v>
      </c>
      <c r="E137" s="14">
        <f t="shared" si="2"/>
        <v>0.4802123552</v>
      </c>
      <c r="F137" s="15">
        <f t="shared" si="3"/>
        <v>0.0791988417</v>
      </c>
    </row>
    <row r="138">
      <c r="A138" s="5">
        <v>41988.0</v>
      </c>
      <c r="B138" s="9">
        <v>2166.0</v>
      </c>
      <c r="C138" s="12">
        <v>165.03</v>
      </c>
      <c r="D138" s="13">
        <f>B138-'Ad Data'!E71</f>
        <v>1187</v>
      </c>
      <c r="E138" s="14">
        <f t="shared" si="2"/>
        <v>0.5480147738</v>
      </c>
      <c r="F138" s="15">
        <f t="shared" si="3"/>
        <v>0.07619113573</v>
      </c>
    </row>
    <row r="139">
      <c r="A139" s="5">
        <v>41989.0</v>
      </c>
      <c r="B139" s="9">
        <v>2527.0</v>
      </c>
      <c r="C139" s="12">
        <v>194.49</v>
      </c>
      <c r="D139" s="13">
        <f>B139-'Ad Data'!E72</f>
        <v>1514</v>
      </c>
      <c r="E139" s="14">
        <f t="shared" si="2"/>
        <v>0.5991294025</v>
      </c>
      <c r="F139" s="15">
        <f t="shared" si="3"/>
        <v>0.07696478037</v>
      </c>
    </row>
    <row r="140">
      <c r="A140" s="5">
        <v>41990.0</v>
      </c>
      <c r="B140" s="9">
        <v>2189.0</v>
      </c>
      <c r="C140" s="12">
        <v>180.25</v>
      </c>
      <c r="D140" s="13">
        <f>B140-'Ad Data'!E73</f>
        <v>1296</v>
      </c>
      <c r="E140" s="14">
        <f t="shared" si="2"/>
        <v>0.5920511649</v>
      </c>
      <c r="F140" s="15">
        <f t="shared" si="3"/>
        <v>0.08234353586</v>
      </c>
    </row>
    <row r="141">
      <c r="A141" s="5">
        <v>41991.0</v>
      </c>
      <c r="B141" s="9">
        <v>1252.0</v>
      </c>
      <c r="C141" s="12">
        <v>92.56</v>
      </c>
      <c r="D141" s="13">
        <f>B141-'Ad Data'!E74</f>
        <v>292</v>
      </c>
      <c r="E141" s="14">
        <f t="shared" si="2"/>
        <v>0.2332268371</v>
      </c>
      <c r="F141" s="15">
        <f t="shared" si="3"/>
        <v>0.07392971246</v>
      </c>
    </row>
    <row r="142">
      <c r="A142" s="5">
        <v>41992.0</v>
      </c>
      <c r="B142" s="9">
        <v>1005.0</v>
      </c>
      <c r="C142" s="12">
        <v>110.97</v>
      </c>
      <c r="D142" s="13">
        <f>B142-'Ad Data'!E75</f>
        <v>116</v>
      </c>
      <c r="E142" s="14">
        <f t="shared" si="2"/>
        <v>0.1154228856</v>
      </c>
      <c r="F142" s="15">
        <f t="shared" si="3"/>
        <v>0.1104179104</v>
      </c>
    </row>
    <row r="143">
      <c r="A143" s="5">
        <v>41993.0</v>
      </c>
      <c r="B143" s="9">
        <v>1058.0</v>
      </c>
      <c r="C143" s="12">
        <v>94.19</v>
      </c>
      <c r="D143" s="13">
        <f>B143-'Ad Data'!E76</f>
        <v>150</v>
      </c>
      <c r="E143" s="14">
        <f t="shared" si="2"/>
        <v>0.1417769376</v>
      </c>
      <c r="F143" s="15">
        <f t="shared" si="3"/>
        <v>0.08902646503</v>
      </c>
    </row>
    <row r="144">
      <c r="A144" s="5">
        <v>41994.0</v>
      </c>
      <c r="B144" s="9">
        <v>1608.0</v>
      </c>
      <c r="C144" s="12">
        <v>147.97</v>
      </c>
      <c r="D144" s="13">
        <f>B144-'Ad Data'!E77</f>
        <v>637</v>
      </c>
      <c r="E144" s="14">
        <f t="shared" si="2"/>
        <v>0.3961442786</v>
      </c>
      <c r="F144" s="15">
        <f t="shared" si="3"/>
        <v>0.09202114428</v>
      </c>
    </row>
    <row r="145">
      <c r="A145" s="5">
        <v>41995.0</v>
      </c>
      <c r="B145" s="9">
        <v>1917.0</v>
      </c>
      <c r="C145" s="12">
        <v>154.71</v>
      </c>
      <c r="D145" s="13">
        <f>B145-'Ad Data'!E78</f>
        <v>977</v>
      </c>
      <c r="E145" s="14">
        <f t="shared" si="2"/>
        <v>0.5096504956</v>
      </c>
      <c r="F145" s="15">
        <f t="shared" si="3"/>
        <v>0.08070422535</v>
      </c>
    </row>
    <row r="146">
      <c r="A146" s="5">
        <v>41996.0</v>
      </c>
      <c r="B146" s="9">
        <v>1994.0</v>
      </c>
      <c r="C146" s="12">
        <v>159.41</v>
      </c>
      <c r="D146" s="13">
        <f>B146-'Ad Data'!E79</f>
        <v>1098</v>
      </c>
      <c r="E146" s="14">
        <f t="shared" si="2"/>
        <v>0.5506519559</v>
      </c>
      <c r="F146" s="15">
        <f t="shared" si="3"/>
        <v>0.0799448345</v>
      </c>
    </row>
    <row r="147">
      <c r="A147" s="5">
        <v>41997.0</v>
      </c>
      <c r="B147" s="9">
        <v>1669.0</v>
      </c>
      <c r="C147" s="12">
        <v>183.9</v>
      </c>
      <c r="D147" s="13">
        <f>B147-'Ad Data'!E80</f>
        <v>764</v>
      </c>
      <c r="E147" s="14">
        <f t="shared" si="2"/>
        <v>0.4577591372</v>
      </c>
      <c r="F147" s="15">
        <f t="shared" si="3"/>
        <v>0.11018574</v>
      </c>
    </row>
    <row r="148">
      <c r="A148" s="5">
        <v>41998.0</v>
      </c>
      <c r="B148" s="9">
        <v>2164.0</v>
      </c>
      <c r="C148" s="12">
        <v>171.91</v>
      </c>
      <c r="D148" s="13">
        <f>B148-'Ad Data'!E81</f>
        <v>1303</v>
      </c>
      <c r="E148" s="14">
        <f t="shared" si="2"/>
        <v>0.6021256932</v>
      </c>
      <c r="F148" s="15">
        <f t="shared" si="3"/>
        <v>0.07944085028</v>
      </c>
    </row>
    <row r="149">
      <c r="A149" s="5">
        <v>41999.0</v>
      </c>
      <c r="B149" s="9">
        <v>2822.0</v>
      </c>
      <c r="C149" s="12">
        <v>236.86</v>
      </c>
      <c r="D149" s="13">
        <f>B149-'Ad Data'!E82</f>
        <v>1758</v>
      </c>
      <c r="E149" s="14">
        <f t="shared" si="2"/>
        <v>0.622962438</v>
      </c>
      <c r="F149" s="15">
        <f t="shared" si="3"/>
        <v>0.08393338058</v>
      </c>
    </row>
    <row r="150">
      <c r="A150" s="5">
        <v>42000.0</v>
      </c>
      <c r="B150" s="9">
        <v>2071.0</v>
      </c>
      <c r="C150" s="12">
        <v>128.82</v>
      </c>
      <c r="D150" s="13">
        <f>B150-'Ad Data'!E83</f>
        <v>1139</v>
      </c>
      <c r="E150" s="14">
        <f t="shared" si="2"/>
        <v>0.5499758571</v>
      </c>
      <c r="F150" s="15">
        <f t="shared" si="3"/>
        <v>0.06220183486</v>
      </c>
    </row>
    <row r="151">
      <c r="A151" s="5">
        <v>42001.0</v>
      </c>
      <c r="B151" s="9">
        <v>2623.0</v>
      </c>
      <c r="C151" s="12">
        <v>242.26</v>
      </c>
      <c r="D151" s="13">
        <f>B151-'Ad Data'!E84</f>
        <v>1609</v>
      </c>
      <c r="E151" s="14">
        <f t="shared" si="2"/>
        <v>0.6134197484</v>
      </c>
      <c r="F151" s="15">
        <f t="shared" si="3"/>
        <v>0.09235989325</v>
      </c>
    </row>
    <row r="152">
      <c r="A152" s="5">
        <v>42002.0</v>
      </c>
      <c r="B152" s="9">
        <v>2195.0</v>
      </c>
      <c r="C152" s="12">
        <v>177.86</v>
      </c>
      <c r="D152" s="13">
        <f>B152-'Ad Data'!E85</f>
        <v>1132</v>
      </c>
      <c r="E152" s="14">
        <f t="shared" si="2"/>
        <v>0.5157175399</v>
      </c>
      <c r="F152" s="15">
        <f t="shared" si="3"/>
        <v>0.08102961276</v>
      </c>
    </row>
    <row r="153">
      <c r="A153" s="5">
        <v>42003.0</v>
      </c>
      <c r="B153" s="9">
        <v>2035.0</v>
      </c>
      <c r="C153" s="12">
        <v>199.62</v>
      </c>
      <c r="D153" s="13">
        <f>B153-'Ad Data'!E86</f>
        <v>986</v>
      </c>
      <c r="E153" s="14">
        <f t="shared" si="2"/>
        <v>0.4845208845</v>
      </c>
      <c r="F153" s="15">
        <f t="shared" si="3"/>
        <v>0.09809336609</v>
      </c>
    </row>
    <row r="154">
      <c r="A154" s="5">
        <v>42004.0</v>
      </c>
      <c r="B154" s="9">
        <v>1681.0</v>
      </c>
      <c r="C154" s="12">
        <v>188.0</v>
      </c>
      <c r="D154" s="13">
        <f>B154-'Ad Data'!E87</f>
        <v>603</v>
      </c>
      <c r="E154" s="14">
        <f t="shared" si="2"/>
        <v>0.3587150506</v>
      </c>
      <c r="F154" s="15">
        <f t="shared" si="3"/>
        <v>0.1118381916</v>
      </c>
    </row>
  </sheetData>
  <drawing r:id="rId1"/>
</worksheet>
</file>